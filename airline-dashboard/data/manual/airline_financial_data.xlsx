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GitHub Repos/airline_financials/airline-dashboard/data/manual/"/>
    </mc:Choice>
  </mc:AlternateContent>
  <xr:revisionPtr revIDLastSave="24" documentId="13_ncr:1_{826EDDCB-8DC5-48D4-92ED-2287CEBE3206}" xr6:coauthVersionLast="47" xr6:coauthVersionMax="47" xr10:uidLastSave="{623539DB-94CE-4819-82FE-06D2F853BFFB}"/>
  <bookViews>
    <workbookView xWindow="-120" yWindow="-120" windowWidth="29040" windowHeight="157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0" i="2" l="1"/>
  <c r="K98" i="2"/>
  <c r="K95" i="2"/>
  <c r="K92" i="2"/>
  <c r="K218" i="2"/>
</calcChain>
</file>

<file path=xl/sharedStrings.xml><?xml version="1.0" encoding="utf-8"?>
<sst xmlns="http://schemas.openxmlformats.org/spreadsheetml/2006/main" count="377" uniqueCount="20">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</sst>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49"/>
  <sheetViews>
    <sheetView tabSelected="1" topLeftCell="A170" zoomScaleNormal="100" workbookViewId="0">
      <selection activeCell="L129" sqref="L129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J2">
        <v>21946000000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J5">
        <v>21863000000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J6">
        <v>8258000000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J8">
        <v>22274000000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J9">
        <v>7801000000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J11">
        <v>20566000000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J12">
        <v>7959000000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J13">
        <v>12215000000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J17">
        <v>20065000000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J18">
        <v>7435000000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J20">
        <v>21222000000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J21">
        <v>7209000000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J23">
        <v>21055000000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J24">
        <v>7072000000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J26">
        <v>20896000000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J27">
        <v>8052000000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J28">
        <v>13145000000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J32">
        <v>21033000000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J33">
        <v>11750000000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J35">
        <v>28193000000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J36">
        <v>18539000000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J38">
        <v>29593000000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J39">
        <v>28910000000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J41">
        <v>29324000000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J42">
        <v>26531000000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J43">
        <v>24836000000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J47">
        <v>36785000000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J48">
        <v>24802000000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J50">
        <v>36729000000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J51">
        <v>25246000000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J53">
        <v>35470000000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J54">
        <v>24077000000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J56">
        <v>35008000000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J57">
        <v>23582000000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J58">
        <v>30361000000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J62">
        <v>34885000000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J63">
        <v>22939000000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J65">
        <v>34421000000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J66">
        <v>21444000000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J68">
        <v>33598000000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J69">
        <v>19800000000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J71">
        <v>31844000000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J72">
        <v>19326000000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J73">
        <v>28283000000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J77">
        <v>31089000000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J78">
        <v>18490000000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J80">
        <v>30340000000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J81">
        <v>16870000000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J83">
        <v>29308000000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J84">
        <v>16347000000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J86">
        <v>28895000000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J87">
        <v>15985000000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J88">
        <v>25057000000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J92">
        <v>27853000000</v>
      </c>
      <c r="K92">
        <f>ROUND($K$219*((D92-F92)/($D$219-$F$219)),0)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J93">
        <v>15576000000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J95">
        <v>27209000000</v>
      </c>
      <c r="K95">
        <f>ROUND($K$219*((D95-F95)/($D$219-$F$219)),0)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J96">
        <v>14084000000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J98">
        <v>25848000000</v>
      </c>
      <c r="K98">
        <f>ROUND($K$219*((D98-F98)/($D$219-$F$219)),0)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J99">
        <v>13881000000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16196000000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118000000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667000000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544000000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543000000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586000000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620000000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355000000</v>
      </c>
    </row>
    <row r="123" spans="1:11" x14ac:dyDescent="0.25">
      <c r="A123">
        <v>2014</v>
      </c>
      <c r="B123">
        <v>1</v>
      </c>
      <c r="C123" t="s">
        <v>13</v>
      </c>
      <c r="E123">
        <v>3933000000</v>
      </c>
      <c r="H123">
        <v>24155317000</v>
      </c>
      <c r="I123">
        <v>30474582000</v>
      </c>
      <c r="K123">
        <v>29000000</v>
      </c>
    </row>
    <row r="124" spans="1:11" x14ac:dyDescent="0.25">
      <c r="A124">
        <v>2014</v>
      </c>
      <c r="B124">
        <v>2</v>
      </c>
      <c r="C124" t="s">
        <v>13</v>
      </c>
      <c r="E124">
        <v>4752000000</v>
      </c>
      <c r="H124">
        <v>28589997000</v>
      </c>
      <c r="I124">
        <v>34096212000</v>
      </c>
      <c r="K124">
        <v>127000000</v>
      </c>
    </row>
    <row r="125" spans="1:11" x14ac:dyDescent="0.25">
      <c r="A125">
        <v>2014</v>
      </c>
      <c r="B125">
        <v>3</v>
      </c>
      <c r="C125" t="s">
        <v>13</v>
      </c>
      <c r="E125">
        <v>4564000000</v>
      </c>
      <c r="H125">
        <v>28522164000</v>
      </c>
      <c r="I125">
        <v>33785824000</v>
      </c>
      <c r="K125">
        <v>100000000</v>
      </c>
    </row>
    <row r="126" spans="1:11" x14ac:dyDescent="0.25">
      <c r="A126">
        <v>2014</v>
      </c>
      <c r="B126">
        <v>4</v>
      </c>
      <c r="C126" t="s">
        <v>13</v>
      </c>
      <c r="E126">
        <v>4409000000</v>
      </c>
      <c r="H126">
        <v>26767655000</v>
      </c>
      <c r="I126">
        <v>32647338000</v>
      </c>
      <c r="K126">
        <v>100000000</v>
      </c>
    </row>
    <row r="127" spans="1:11" x14ac:dyDescent="0.25">
      <c r="A127">
        <v>2015</v>
      </c>
      <c r="B127">
        <v>1</v>
      </c>
      <c r="C127" t="s">
        <v>13</v>
      </c>
      <c r="E127">
        <v>4178000000</v>
      </c>
      <c r="H127">
        <v>25860866000</v>
      </c>
      <c r="I127">
        <v>32297465000</v>
      </c>
      <c r="K127">
        <v>126000000</v>
      </c>
    </row>
    <row r="128" spans="1:11" x14ac:dyDescent="0.25">
      <c r="A128">
        <v>2015</v>
      </c>
      <c r="B128">
        <v>2</v>
      </c>
      <c r="C128" t="s">
        <v>13</v>
      </c>
      <c r="E128">
        <v>4852000000</v>
      </c>
      <c r="H128">
        <v>30858381000</v>
      </c>
      <c r="I128">
        <v>36476030000</v>
      </c>
      <c r="K128">
        <v>182000000</v>
      </c>
    </row>
    <row r="129" spans="1:11" x14ac:dyDescent="0.25">
      <c r="A129">
        <v>2015</v>
      </c>
      <c r="B129">
        <v>3</v>
      </c>
      <c r="C129" t="s">
        <v>13</v>
      </c>
      <c r="E129">
        <v>4716000000</v>
      </c>
      <c r="H129">
        <v>31052660000</v>
      </c>
      <c r="I129">
        <v>36360340000</v>
      </c>
      <c r="K129">
        <v>177000000</v>
      </c>
    </row>
    <row r="130" spans="1:11" x14ac:dyDescent="0.25">
      <c r="A130">
        <v>2015</v>
      </c>
      <c r="B130">
        <v>4</v>
      </c>
      <c r="C130" t="s">
        <v>13</v>
      </c>
      <c r="E130">
        <v>4553000000</v>
      </c>
      <c r="H130">
        <v>29727972000</v>
      </c>
      <c r="I130">
        <v>35367574000</v>
      </c>
      <c r="K130">
        <v>136000000</v>
      </c>
    </row>
    <row r="131" spans="1:11" x14ac:dyDescent="0.25">
      <c r="A131">
        <v>2016</v>
      </c>
      <c r="B131">
        <v>1</v>
      </c>
      <c r="C131" t="s">
        <v>13</v>
      </c>
      <c r="E131">
        <v>4398000000</v>
      </c>
      <c r="H131">
        <v>28408164000</v>
      </c>
      <c r="I131">
        <v>35268149000</v>
      </c>
      <c r="K131">
        <v>155000000</v>
      </c>
    </row>
    <row r="132" spans="1:11" x14ac:dyDescent="0.25">
      <c r="A132">
        <v>2016</v>
      </c>
      <c r="B132">
        <v>2</v>
      </c>
      <c r="C132" t="s">
        <v>13</v>
      </c>
      <c r="E132">
        <v>4905000000</v>
      </c>
      <c r="H132">
        <v>32707694000</v>
      </c>
      <c r="I132">
        <v>38225282000</v>
      </c>
      <c r="K132">
        <v>206000000</v>
      </c>
    </row>
    <row r="133" spans="1:11" x14ac:dyDescent="0.25">
      <c r="A133">
        <v>2016</v>
      </c>
      <c r="B133">
        <v>3</v>
      </c>
      <c r="C133" t="s">
        <v>13</v>
      </c>
      <c r="E133">
        <v>4669000000</v>
      </c>
      <c r="H133">
        <v>32315952000</v>
      </c>
      <c r="I133">
        <v>37881510000</v>
      </c>
      <c r="K133">
        <v>101000000</v>
      </c>
    </row>
    <row r="134" spans="1:11" x14ac:dyDescent="0.25">
      <c r="A134">
        <v>2016</v>
      </c>
      <c r="B134">
        <v>4</v>
      </c>
      <c r="C134" t="s">
        <v>13</v>
      </c>
      <c r="E134">
        <v>4623000000</v>
      </c>
      <c r="H134">
        <v>31366176000</v>
      </c>
      <c r="I134">
        <v>37147109000</v>
      </c>
      <c r="K134">
        <v>123000000</v>
      </c>
    </row>
    <row r="135" spans="1:11" x14ac:dyDescent="0.25">
      <c r="A135">
        <v>2017</v>
      </c>
      <c r="B135">
        <v>1</v>
      </c>
      <c r="C135" t="s">
        <v>13</v>
      </c>
      <c r="E135">
        <v>4424000000</v>
      </c>
      <c r="H135">
        <v>29340658000</v>
      </c>
      <c r="I135">
        <v>36699870000</v>
      </c>
      <c r="K135">
        <v>99000000</v>
      </c>
    </row>
    <row r="136" spans="1:11" x14ac:dyDescent="0.25">
      <c r="A136">
        <v>2017</v>
      </c>
      <c r="B136">
        <v>2</v>
      </c>
      <c r="C136" t="s">
        <v>13</v>
      </c>
      <c r="E136">
        <v>5233000000</v>
      </c>
      <c r="H136">
        <v>34382696000</v>
      </c>
      <c r="I136">
        <v>40171225000</v>
      </c>
      <c r="K136">
        <v>202000000</v>
      </c>
    </row>
    <row r="137" spans="1:11" x14ac:dyDescent="0.25">
      <c r="A137">
        <v>2017</v>
      </c>
      <c r="B137">
        <v>3</v>
      </c>
      <c r="C137" t="s">
        <v>13</v>
      </c>
      <c r="E137">
        <v>4745000000</v>
      </c>
      <c r="H137">
        <v>33128227000</v>
      </c>
      <c r="I137">
        <v>39053164000</v>
      </c>
      <c r="K137">
        <v>127000000</v>
      </c>
    </row>
    <row r="138" spans="1:11" x14ac:dyDescent="0.25">
      <c r="A138">
        <v>2017</v>
      </c>
      <c r="B138">
        <v>4</v>
      </c>
      <c r="C138" t="s">
        <v>13</v>
      </c>
      <c r="E138">
        <v>4738000000</v>
      </c>
      <c r="H138">
        <v>32189839000</v>
      </c>
      <c r="I138">
        <v>37886814000</v>
      </c>
      <c r="K138">
        <v>115000000</v>
      </c>
    </row>
    <row r="139" spans="1:11" x14ac:dyDescent="0.25">
      <c r="A139">
        <v>2018</v>
      </c>
      <c r="B139">
        <v>1</v>
      </c>
      <c r="C139" t="s">
        <v>13</v>
      </c>
      <c r="E139">
        <v>4585000000</v>
      </c>
      <c r="H139">
        <v>30439000000</v>
      </c>
      <c r="I139">
        <v>37366000000</v>
      </c>
      <c r="K139">
        <v>102000000</v>
      </c>
    </row>
    <row r="140" spans="1:11" x14ac:dyDescent="0.25">
      <c r="A140">
        <v>2018</v>
      </c>
      <c r="B140">
        <v>2</v>
      </c>
      <c r="C140" t="s">
        <v>13</v>
      </c>
      <c r="E140">
        <v>5358000000</v>
      </c>
      <c r="H140">
        <v>35143000000</v>
      </c>
      <c r="I140">
        <v>41492000000</v>
      </c>
      <c r="K140">
        <v>166000000</v>
      </c>
    </row>
    <row r="141" spans="1:11" x14ac:dyDescent="0.25">
      <c r="A141">
        <v>2018</v>
      </c>
      <c r="B141">
        <v>3</v>
      </c>
      <c r="C141" t="s">
        <v>13</v>
      </c>
      <c r="E141">
        <v>5194000000</v>
      </c>
      <c r="H141">
        <v>34024000000</v>
      </c>
      <c r="I141">
        <v>40570000000</v>
      </c>
      <c r="K141">
        <v>135000000</v>
      </c>
    </row>
    <row r="142" spans="1:11" x14ac:dyDescent="0.25">
      <c r="A142">
        <v>2018</v>
      </c>
      <c r="B142">
        <v>4</v>
      </c>
      <c r="C142" t="s">
        <v>13</v>
      </c>
      <c r="E142">
        <v>5317000000</v>
      </c>
      <c r="H142">
        <v>33716000000</v>
      </c>
      <c r="I142">
        <v>40367000000</v>
      </c>
      <c r="K142">
        <v>141000000</v>
      </c>
    </row>
    <row r="143" spans="1:11" x14ac:dyDescent="0.25">
      <c r="A143">
        <v>2019</v>
      </c>
      <c r="B143">
        <v>1</v>
      </c>
      <c r="C143" t="s">
        <v>13</v>
      </c>
      <c r="E143">
        <v>4745000000</v>
      </c>
      <c r="H143">
        <v>30704000000</v>
      </c>
      <c r="I143">
        <v>37885000000</v>
      </c>
      <c r="K143">
        <v>88000000</v>
      </c>
    </row>
    <row r="144" spans="1:11" x14ac:dyDescent="0.25">
      <c r="A144">
        <v>2019</v>
      </c>
      <c r="B144">
        <v>2</v>
      </c>
      <c r="C144" t="s">
        <v>13</v>
      </c>
      <c r="E144">
        <v>5487000000</v>
      </c>
      <c r="H144">
        <v>34528000000</v>
      </c>
      <c r="I144">
        <v>39985000000</v>
      </c>
      <c r="K144">
        <v>170000000</v>
      </c>
    </row>
    <row r="145" spans="1:11" x14ac:dyDescent="0.25">
      <c r="A145">
        <v>2019</v>
      </c>
      <c r="B145">
        <v>3</v>
      </c>
      <c r="C145" t="s">
        <v>13</v>
      </c>
      <c r="E145">
        <v>5230000000</v>
      </c>
      <c r="H145">
        <v>32889000000</v>
      </c>
      <c r="I145">
        <v>39379000000</v>
      </c>
      <c r="K145">
        <v>144000000</v>
      </c>
    </row>
    <row r="146" spans="1:11" x14ac:dyDescent="0.25">
      <c r="A146">
        <v>2019</v>
      </c>
      <c r="B146">
        <v>4</v>
      </c>
      <c r="C146" t="s">
        <v>13</v>
      </c>
      <c r="E146">
        <v>5314000000</v>
      </c>
      <c r="H146">
        <v>33224000000</v>
      </c>
      <c r="I146">
        <v>40004000000</v>
      </c>
      <c r="K146">
        <v>264000000</v>
      </c>
    </row>
    <row r="147" spans="1:11" x14ac:dyDescent="0.25">
      <c r="A147">
        <v>2020</v>
      </c>
      <c r="B147">
        <v>1</v>
      </c>
      <c r="C147" t="s">
        <v>13</v>
      </c>
      <c r="E147">
        <v>3845000000</v>
      </c>
      <c r="H147">
        <v>23935000000</v>
      </c>
      <c r="I147">
        <v>35350000000</v>
      </c>
      <c r="K147">
        <v>0</v>
      </c>
    </row>
    <row r="148" spans="1:11" x14ac:dyDescent="0.25">
      <c r="A148">
        <v>2020</v>
      </c>
      <c r="B148">
        <v>2</v>
      </c>
      <c r="C148" t="s">
        <v>13</v>
      </c>
      <c r="E148">
        <v>704000000</v>
      </c>
      <c r="H148">
        <v>5614000000</v>
      </c>
      <c r="I148">
        <v>17887000000</v>
      </c>
      <c r="K148">
        <v>0</v>
      </c>
    </row>
    <row r="149" spans="1:11" x14ac:dyDescent="0.25">
      <c r="A149">
        <v>2020</v>
      </c>
      <c r="B149">
        <v>3</v>
      </c>
      <c r="C149" t="s">
        <v>13</v>
      </c>
      <c r="E149">
        <v>1454000000</v>
      </c>
      <c r="H149">
        <v>11888000000</v>
      </c>
      <c r="I149">
        <v>26464000000</v>
      </c>
      <c r="K149">
        <v>0</v>
      </c>
    </row>
    <row r="150" spans="1:11" x14ac:dyDescent="0.25">
      <c r="A150">
        <v>2020</v>
      </c>
      <c r="B150">
        <v>4</v>
      </c>
      <c r="C150" t="s">
        <v>13</v>
      </c>
      <c r="E150">
        <v>1663000000</v>
      </c>
      <c r="H150">
        <v>12784000000</v>
      </c>
      <c r="I150">
        <v>23756000000</v>
      </c>
      <c r="K150">
        <v>0</v>
      </c>
    </row>
    <row r="151" spans="1:11" x14ac:dyDescent="0.25">
      <c r="A151">
        <v>2021</v>
      </c>
      <c r="B151">
        <v>1</v>
      </c>
      <c r="C151" t="s">
        <v>13</v>
      </c>
      <c r="E151">
        <v>1712000000</v>
      </c>
      <c r="H151">
        <v>14875000000</v>
      </c>
      <c r="I151">
        <v>23146000000</v>
      </c>
      <c r="K151">
        <v>24000000</v>
      </c>
    </row>
    <row r="152" spans="1:11" x14ac:dyDescent="0.25">
      <c r="A152">
        <v>2021</v>
      </c>
      <c r="B152">
        <v>2</v>
      </c>
      <c r="C152" t="s">
        <v>13</v>
      </c>
      <c r="E152">
        <v>3569000000</v>
      </c>
      <c r="H152">
        <v>27689000000</v>
      </c>
      <c r="I152">
        <v>33414000000</v>
      </c>
      <c r="K152">
        <v>85000000</v>
      </c>
    </row>
    <row r="153" spans="1:11" x14ac:dyDescent="0.25">
      <c r="A153">
        <v>2021</v>
      </c>
      <c r="B153">
        <v>3</v>
      </c>
      <c r="C153" t="s">
        <v>13</v>
      </c>
      <c r="E153">
        <v>4227000000</v>
      </c>
      <c r="H153">
        <v>31285000000</v>
      </c>
      <c r="I153">
        <v>38756000000</v>
      </c>
      <c r="K153">
        <v>77000000</v>
      </c>
    </row>
    <row r="154" spans="1:11" x14ac:dyDescent="0.25">
      <c r="A154">
        <v>2021</v>
      </c>
      <c r="B154">
        <v>4</v>
      </c>
      <c r="C154" t="s">
        <v>13</v>
      </c>
      <c r="E154">
        <v>4557000000</v>
      </c>
      <c r="H154">
        <v>29713000000</v>
      </c>
      <c r="I154">
        <v>36690000000</v>
      </c>
      <c r="K154">
        <v>43000000</v>
      </c>
    </row>
    <row r="155" spans="1:11" x14ac:dyDescent="0.25">
      <c r="A155">
        <v>2022</v>
      </c>
      <c r="B155">
        <v>1</v>
      </c>
      <c r="C155" t="s">
        <v>13</v>
      </c>
      <c r="E155">
        <v>4135000000</v>
      </c>
      <c r="H155">
        <v>26483000000</v>
      </c>
      <c r="I155">
        <v>34384000000</v>
      </c>
      <c r="K155">
        <v>37000000</v>
      </c>
    </row>
    <row r="156" spans="1:11" x14ac:dyDescent="0.25">
      <c r="A156">
        <v>2022</v>
      </c>
      <c r="B156">
        <v>2</v>
      </c>
      <c r="C156" t="s">
        <v>13</v>
      </c>
      <c r="E156">
        <v>6119000000</v>
      </c>
      <c r="H156">
        <v>32523000000</v>
      </c>
      <c r="I156">
        <v>37322000000</v>
      </c>
      <c r="K156">
        <v>81000000</v>
      </c>
    </row>
    <row r="157" spans="1:11" x14ac:dyDescent="0.25">
      <c r="A157">
        <v>2022</v>
      </c>
      <c r="B157">
        <v>3</v>
      </c>
      <c r="C157" t="s">
        <v>13</v>
      </c>
      <c r="E157">
        <v>5613000000</v>
      </c>
      <c r="H157">
        <v>33534000000</v>
      </c>
      <c r="I157">
        <v>39272000000</v>
      </c>
      <c r="K157">
        <v>57000000</v>
      </c>
    </row>
    <row r="158" spans="1:11" x14ac:dyDescent="0.25">
      <c r="A158">
        <v>2022</v>
      </c>
      <c r="B158">
        <v>4</v>
      </c>
      <c r="C158" t="s">
        <v>13</v>
      </c>
      <c r="E158">
        <v>5541000000</v>
      </c>
      <c r="H158">
        <v>31303000000</v>
      </c>
      <c r="I158">
        <v>37490000000</v>
      </c>
      <c r="K158">
        <v>49000000</v>
      </c>
    </row>
    <row r="159" spans="1:11" x14ac:dyDescent="0.25">
      <c r="A159">
        <v>2023</v>
      </c>
      <c r="B159">
        <v>1</v>
      </c>
      <c r="C159" t="s">
        <v>13</v>
      </c>
      <c r="E159">
        <v>5105000000</v>
      </c>
      <c r="H159">
        <v>29547000000</v>
      </c>
      <c r="I159">
        <v>38062000000</v>
      </c>
      <c r="K159">
        <v>0</v>
      </c>
    </row>
    <row r="160" spans="1:11" x14ac:dyDescent="0.25">
      <c r="A160">
        <v>2023</v>
      </c>
      <c r="B160">
        <v>2</v>
      </c>
      <c r="C160" t="s">
        <v>13</v>
      </c>
      <c r="E160">
        <v>6409000000</v>
      </c>
      <c r="H160">
        <v>35505000000</v>
      </c>
      <c r="I160">
        <v>42579000000</v>
      </c>
      <c r="K160">
        <v>121000000</v>
      </c>
    </row>
    <row r="161" spans="1:11" x14ac:dyDescent="0.25">
      <c r="A161">
        <v>2023</v>
      </c>
      <c r="B161">
        <v>3</v>
      </c>
      <c r="C161" t="s">
        <v>13</v>
      </c>
      <c r="E161">
        <v>5912000000</v>
      </c>
      <c r="H161">
        <v>35624000000</v>
      </c>
      <c r="I161">
        <v>44169000000</v>
      </c>
      <c r="K161">
        <v>38000000</v>
      </c>
    </row>
    <row r="162" spans="1:11" x14ac:dyDescent="0.25">
      <c r="A162">
        <v>2023</v>
      </c>
      <c r="B162">
        <v>4</v>
      </c>
      <c r="C162" t="s">
        <v>13</v>
      </c>
      <c r="E162">
        <v>6211000000</v>
      </c>
      <c r="H162">
        <v>35580000000</v>
      </c>
      <c r="I162">
        <v>45513000000</v>
      </c>
      <c r="K162">
        <v>41000000</v>
      </c>
    </row>
    <row r="163" spans="1:11" x14ac:dyDescent="0.25">
      <c r="A163">
        <v>2024</v>
      </c>
      <c r="B163">
        <v>3</v>
      </c>
      <c r="C163" t="s">
        <v>13</v>
      </c>
      <c r="D163">
        <v>6870000000</v>
      </c>
      <c r="E163">
        <v>6250000000</v>
      </c>
      <c r="F163">
        <v>6832000000</v>
      </c>
      <c r="G163">
        <v>67000000</v>
      </c>
      <c r="H163">
        <v>36735000000</v>
      </c>
      <c r="I163">
        <v>45219000000</v>
      </c>
      <c r="J163">
        <v>5075000000</v>
      </c>
      <c r="K163">
        <v>18000000</v>
      </c>
    </row>
    <row r="164" spans="1:11" x14ac:dyDescent="0.25">
      <c r="A164">
        <v>2024</v>
      </c>
      <c r="B164">
        <v>2</v>
      </c>
      <c r="C164" t="s">
        <v>13</v>
      </c>
      <c r="D164">
        <v>7354000000</v>
      </c>
      <c r="E164">
        <v>6712000000</v>
      </c>
      <c r="F164">
        <v>6956000000</v>
      </c>
      <c r="G164">
        <v>367000000</v>
      </c>
      <c r="H164">
        <v>38221000000</v>
      </c>
      <c r="I164">
        <v>46250000000</v>
      </c>
      <c r="J164">
        <v>5065000000</v>
      </c>
      <c r="K164">
        <v>31000000</v>
      </c>
    </row>
    <row r="165" spans="1:11" x14ac:dyDescent="0.25">
      <c r="A165">
        <v>2024</v>
      </c>
      <c r="B165">
        <v>1</v>
      </c>
      <c r="C165" t="s">
        <v>13</v>
      </c>
      <c r="D165">
        <v>6329000000</v>
      </c>
      <c r="E165">
        <v>5712000000</v>
      </c>
      <c r="F165">
        <v>6722000000</v>
      </c>
      <c r="G165">
        <v>-231000000</v>
      </c>
      <c r="H165">
        <v>33087000000</v>
      </c>
      <c r="I165">
        <v>42248000000</v>
      </c>
      <c r="J165">
        <v>7974000000</v>
      </c>
      <c r="K165">
        <v>0</v>
      </c>
    </row>
    <row r="166" spans="1:11" x14ac:dyDescent="0.25">
      <c r="A166">
        <v>2017</v>
      </c>
      <c r="B166">
        <v>1</v>
      </c>
      <c r="C166" t="s">
        <v>5</v>
      </c>
      <c r="D166">
        <v>9624000000</v>
      </c>
      <c r="E166">
        <v>8155000000</v>
      </c>
      <c r="F166">
        <v>9023000000</v>
      </c>
      <c r="G166">
        <v>234000000</v>
      </c>
      <c r="H166">
        <v>50984000000</v>
      </c>
      <c r="I166">
        <v>64341000000</v>
      </c>
      <c r="J166">
        <v>22829000000</v>
      </c>
      <c r="K166">
        <v>31000000</v>
      </c>
    </row>
    <row r="167" spans="1:11" x14ac:dyDescent="0.25">
      <c r="A167">
        <v>2017</v>
      </c>
      <c r="B167">
        <v>2</v>
      </c>
      <c r="C167" t="s">
        <v>5</v>
      </c>
      <c r="D167">
        <v>11105000000</v>
      </c>
      <c r="E167">
        <v>9582000000</v>
      </c>
      <c r="F167">
        <v>9570000000</v>
      </c>
      <c r="G167">
        <v>803000000</v>
      </c>
      <c r="H167">
        <v>59564000000</v>
      </c>
      <c r="I167">
        <v>71743000000</v>
      </c>
      <c r="J167">
        <v>22525000000</v>
      </c>
      <c r="K167">
        <v>94000000</v>
      </c>
    </row>
    <row r="168" spans="1:11" x14ac:dyDescent="0.25">
      <c r="A168">
        <v>2017</v>
      </c>
      <c r="B168">
        <v>3</v>
      </c>
      <c r="C168" t="s">
        <v>5</v>
      </c>
      <c r="D168">
        <v>10878000000</v>
      </c>
      <c r="E168">
        <v>9377000000</v>
      </c>
      <c r="F168">
        <v>9646000000</v>
      </c>
      <c r="G168">
        <v>624000000</v>
      </c>
      <c r="H168">
        <v>54012000000</v>
      </c>
      <c r="I168">
        <v>64582000000</v>
      </c>
      <c r="J168">
        <v>22217000000</v>
      </c>
      <c r="K168">
        <v>70000000</v>
      </c>
    </row>
    <row r="169" spans="1:11" x14ac:dyDescent="0.25">
      <c r="A169">
        <v>2017</v>
      </c>
      <c r="B169">
        <v>4</v>
      </c>
      <c r="C169" t="s">
        <v>5</v>
      </c>
      <c r="D169">
        <v>10600000000</v>
      </c>
      <c r="E169">
        <v>9019000000</v>
      </c>
      <c r="F169">
        <v>9910000000</v>
      </c>
      <c r="G169">
        <v>258000000</v>
      </c>
      <c r="H169">
        <v>55327000000</v>
      </c>
      <c r="I169">
        <v>67355000000</v>
      </c>
      <c r="J169">
        <v>22511000000</v>
      </c>
      <c r="K169">
        <v>47000000</v>
      </c>
    </row>
    <row r="170" spans="1:11" x14ac:dyDescent="0.25">
      <c r="A170">
        <v>2016</v>
      </c>
      <c r="B170">
        <v>1</v>
      </c>
      <c r="C170" t="s">
        <v>5</v>
      </c>
      <c r="D170">
        <v>9435000000</v>
      </c>
      <c r="E170">
        <v>8087000000</v>
      </c>
      <c r="F170">
        <v>8100000000</v>
      </c>
      <c r="G170">
        <v>700000000</v>
      </c>
      <c r="H170">
        <v>51771000000</v>
      </c>
      <c r="I170">
        <v>65064000000</v>
      </c>
      <c r="J170">
        <v>19134000000</v>
      </c>
      <c r="K170">
        <v>73000000</v>
      </c>
    </row>
    <row r="171" spans="1:11" x14ac:dyDescent="0.25">
      <c r="A171">
        <v>2016</v>
      </c>
      <c r="B171">
        <v>2</v>
      </c>
      <c r="C171" t="s">
        <v>5</v>
      </c>
      <c r="D171">
        <v>10363000000</v>
      </c>
      <c r="E171">
        <v>8995000000</v>
      </c>
      <c r="F171">
        <v>8612000000</v>
      </c>
      <c r="G171">
        <v>950000000</v>
      </c>
      <c r="H171">
        <v>58336000000</v>
      </c>
      <c r="I171">
        <v>70751000000</v>
      </c>
      <c r="J171">
        <v>21131000000</v>
      </c>
      <c r="K171">
        <v>98000000</v>
      </c>
    </row>
    <row r="172" spans="1:11" x14ac:dyDescent="0.25">
      <c r="A172">
        <v>2016</v>
      </c>
      <c r="B172">
        <v>3</v>
      </c>
      <c r="C172" t="s">
        <v>5</v>
      </c>
      <c r="D172">
        <v>10594000000</v>
      </c>
      <c r="E172">
        <v>9150000000</v>
      </c>
      <c r="F172">
        <v>9163000000</v>
      </c>
      <c r="G172">
        <v>737000000</v>
      </c>
      <c r="H172">
        <v>53472000000</v>
      </c>
      <c r="I172">
        <v>63751000000</v>
      </c>
      <c r="J172">
        <v>21545000000</v>
      </c>
      <c r="K172">
        <v>86000000</v>
      </c>
    </row>
    <row r="173" spans="1:11" x14ac:dyDescent="0.25">
      <c r="A173">
        <v>2016</v>
      </c>
      <c r="B173">
        <v>4</v>
      </c>
      <c r="C173" t="s">
        <v>5</v>
      </c>
      <c r="D173">
        <v>9789000000</v>
      </c>
      <c r="E173">
        <v>8347000000</v>
      </c>
      <c r="F173">
        <v>9022000000</v>
      </c>
      <c r="G173">
        <v>289000000</v>
      </c>
      <c r="H173">
        <v>53452000000</v>
      </c>
      <c r="I173">
        <v>65683000000</v>
      </c>
      <c r="J173">
        <v>22489000000</v>
      </c>
      <c r="K173">
        <v>57000000</v>
      </c>
    </row>
    <row r="174" spans="1:11" x14ac:dyDescent="0.25">
      <c r="A174">
        <v>2015</v>
      </c>
      <c r="B174">
        <v>1</v>
      </c>
      <c r="C174" t="s">
        <v>5</v>
      </c>
      <c r="D174">
        <v>9827000000</v>
      </c>
      <c r="E174">
        <v>8441000000</v>
      </c>
      <c r="F174">
        <v>8611000000</v>
      </c>
      <c r="G174">
        <v>932000000</v>
      </c>
      <c r="H174">
        <v>50190000000</v>
      </c>
      <c r="I174">
        <v>62791000000</v>
      </c>
      <c r="J174">
        <v>17638000000</v>
      </c>
      <c r="K174">
        <v>0</v>
      </c>
    </row>
    <row r="175" spans="1:11" x14ac:dyDescent="0.25">
      <c r="A175">
        <v>2015</v>
      </c>
      <c r="B175">
        <v>2</v>
      </c>
      <c r="C175" t="s">
        <v>5</v>
      </c>
      <c r="D175">
        <v>10827000000</v>
      </c>
      <c r="E175">
        <v>9414000000</v>
      </c>
      <c r="F175">
        <v>8906000000</v>
      </c>
      <c r="G175">
        <v>1704000000</v>
      </c>
      <c r="H175">
        <v>57821000000</v>
      </c>
      <c r="I175">
        <v>69401000000</v>
      </c>
      <c r="J175">
        <v>17152000000</v>
      </c>
      <c r="K175">
        <v>0</v>
      </c>
    </row>
    <row r="176" spans="1:11" x14ac:dyDescent="0.25">
      <c r="A176">
        <v>2015</v>
      </c>
      <c r="B176">
        <v>3</v>
      </c>
      <c r="C176" t="s">
        <v>5</v>
      </c>
      <c r="D176">
        <v>10706000000</v>
      </c>
      <c r="E176">
        <v>9353000000</v>
      </c>
      <c r="F176">
        <v>8707000000</v>
      </c>
      <c r="G176">
        <v>1693000000</v>
      </c>
      <c r="H176">
        <v>60866000000</v>
      </c>
      <c r="I176">
        <v>71092000000</v>
      </c>
      <c r="J176">
        <v>18849000000</v>
      </c>
      <c r="K176">
        <v>0</v>
      </c>
    </row>
    <row r="177" spans="1:11" x14ac:dyDescent="0.25">
      <c r="A177">
        <v>2015</v>
      </c>
      <c r="B177">
        <v>4</v>
      </c>
      <c r="C177" t="s">
        <v>5</v>
      </c>
      <c r="D177">
        <v>9630000000</v>
      </c>
      <c r="E177">
        <v>8305000000</v>
      </c>
      <c r="F177">
        <v>8562000000</v>
      </c>
      <c r="G177">
        <v>3281000000</v>
      </c>
      <c r="H177">
        <v>54133000000</v>
      </c>
      <c r="I177">
        <v>65453000000</v>
      </c>
      <c r="J177">
        <v>18330000000</v>
      </c>
      <c r="K177">
        <v>0</v>
      </c>
    </row>
    <row r="178" spans="1:11" x14ac:dyDescent="0.25">
      <c r="A178">
        <v>2014</v>
      </c>
      <c r="B178">
        <v>1</v>
      </c>
      <c r="C178" t="s">
        <v>5</v>
      </c>
      <c r="D178">
        <v>9995000000</v>
      </c>
      <c r="E178">
        <v>8665000000</v>
      </c>
      <c r="F178">
        <v>9265000000</v>
      </c>
      <c r="G178">
        <v>480000000</v>
      </c>
      <c r="H178">
        <v>50886000000</v>
      </c>
      <c r="I178">
        <v>63392000000</v>
      </c>
      <c r="J178">
        <v>15244000000</v>
      </c>
      <c r="K178">
        <v>0</v>
      </c>
    </row>
    <row r="179" spans="1:11" x14ac:dyDescent="0.25">
      <c r="A179">
        <v>2014</v>
      </c>
      <c r="B179">
        <v>2</v>
      </c>
      <c r="C179" t="s">
        <v>5</v>
      </c>
      <c r="D179">
        <v>11355000000</v>
      </c>
      <c r="E179">
        <v>9920000000</v>
      </c>
      <c r="F179">
        <v>9956000000</v>
      </c>
      <c r="G179">
        <v>864000000</v>
      </c>
      <c r="H179">
        <v>57194000000</v>
      </c>
      <c r="I179">
        <v>68090000000</v>
      </c>
      <c r="J179">
        <v>15205000000</v>
      </c>
      <c r="K179">
        <v>0</v>
      </c>
    </row>
    <row r="180" spans="1:11" x14ac:dyDescent="0.25">
      <c r="A180">
        <v>2014</v>
      </c>
      <c r="B180">
        <v>3</v>
      </c>
      <c r="C180" t="s">
        <v>5</v>
      </c>
      <c r="D180">
        <v>11139000000</v>
      </c>
      <c r="E180">
        <v>9758000000</v>
      </c>
      <c r="F180">
        <v>9879000000</v>
      </c>
      <c r="G180">
        <v>942000000</v>
      </c>
      <c r="H180">
        <v>57650000000</v>
      </c>
      <c r="I180">
        <v>69120000000</v>
      </c>
      <c r="J180">
        <v>15651000000</v>
      </c>
      <c r="K180">
        <v>0</v>
      </c>
    </row>
    <row r="181" spans="1:11" x14ac:dyDescent="0.25">
      <c r="A181">
        <v>2014</v>
      </c>
      <c r="B181">
        <v>4</v>
      </c>
      <c r="C181" t="s">
        <v>5</v>
      </c>
      <c r="D181">
        <v>10160000000</v>
      </c>
      <c r="E181">
        <v>8782000000</v>
      </c>
      <c r="F181">
        <v>9300000000</v>
      </c>
      <c r="G181">
        <v>597000000</v>
      </c>
      <c r="H181">
        <v>52140000000</v>
      </c>
      <c r="I181">
        <v>65053000000</v>
      </c>
      <c r="J181">
        <v>16196000000</v>
      </c>
      <c r="K181">
        <v>0</v>
      </c>
    </row>
    <row r="182" spans="1:11" x14ac:dyDescent="0.25">
      <c r="A182">
        <v>2017</v>
      </c>
      <c r="B182">
        <v>1</v>
      </c>
      <c r="C182" t="s">
        <v>6</v>
      </c>
      <c r="D182">
        <v>9148000000</v>
      </c>
      <c r="E182">
        <v>7688000000</v>
      </c>
      <c r="F182">
        <v>8095000000</v>
      </c>
      <c r="G182">
        <v>603000000</v>
      </c>
      <c r="H182">
        <v>47952000000</v>
      </c>
      <c r="I182">
        <v>57871000000</v>
      </c>
      <c r="K182">
        <v>151000000</v>
      </c>
    </row>
    <row r="183" spans="1:11" x14ac:dyDescent="0.25">
      <c r="A183">
        <v>2017</v>
      </c>
      <c r="B183">
        <v>2</v>
      </c>
      <c r="C183" t="s">
        <v>6</v>
      </c>
      <c r="D183">
        <v>10791000000</v>
      </c>
      <c r="E183">
        <v>9231000000</v>
      </c>
      <c r="F183">
        <v>8763000000</v>
      </c>
      <c r="G183">
        <v>1224000000</v>
      </c>
      <c r="H183">
        <v>57575000000</v>
      </c>
      <c r="I183">
        <v>66227000000</v>
      </c>
      <c r="K183">
        <v>338000000</v>
      </c>
    </row>
    <row r="184" spans="1:11" x14ac:dyDescent="0.25">
      <c r="A184">
        <v>2017</v>
      </c>
      <c r="B184">
        <v>3</v>
      </c>
      <c r="C184" t="s">
        <v>6</v>
      </c>
      <c r="D184">
        <v>11060000000</v>
      </c>
      <c r="E184">
        <v>9399000000</v>
      </c>
      <c r="F184">
        <v>9221000000</v>
      </c>
      <c r="G184">
        <v>1178000000</v>
      </c>
      <c r="H184">
        <v>61006000000</v>
      </c>
      <c r="I184">
        <v>70167000000</v>
      </c>
      <c r="K184">
        <v>314000000</v>
      </c>
    </row>
    <row r="185" spans="1:11" x14ac:dyDescent="0.25">
      <c r="A185">
        <v>2017</v>
      </c>
      <c r="B185">
        <v>4</v>
      </c>
      <c r="C185" t="s">
        <v>6</v>
      </c>
      <c r="D185">
        <v>10245000000</v>
      </c>
      <c r="E185">
        <v>8501000000</v>
      </c>
      <c r="F185">
        <v>9052000000</v>
      </c>
      <c r="G185">
        <v>572000000</v>
      </c>
      <c r="H185">
        <v>51180000000</v>
      </c>
      <c r="I185">
        <v>60060000000</v>
      </c>
      <c r="J185">
        <v>6295000000</v>
      </c>
      <c r="K185">
        <v>262000000</v>
      </c>
    </row>
    <row r="186" spans="1:11" x14ac:dyDescent="0.25">
      <c r="A186">
        <v>2016</v>
      </c>
      <c r="B186">
        <v>1</v>
      </c>
      <c r="C186" t="s">
        <v>6</v>
      </c>
      <c r="D186">
        <v>9251000000</v>
      </c>
      <c r="E186">
        <v>7762000000</v>
      </c>
      <c r="F186">
        <v>7711000000</v>
      </c>
      <c r="G186">
        <v>946000000</v>
      </c>
      <c r="H186">
        <v>47725000000</v>
      </c>
      <c r="I186">
        <v>58145000000</v>
      </c>
      <c r="K186">
        <v>272000000</v>
      </c>
    </row>
    <row r="187" spans="1:11" x14ac:dyDescent="0.25">
      <c r="A187">
        <v>2016</v>
      </c>
      <c r="B187">
        <v>2</v>
      </c>
      <c r="C187" t="s">
        <v>6</v>
      </c>
      <c r="D187">
        <v>10447000000</v>
      </c>
      <c r="E187">
        <v>8970000000</v>
      </c>
      <c r="F187">
        <v>8024000000</v>
      </c>
      <c r="G187">
        <v>1546000000</v>
      </c>
      <c r="H187">
        <v>56415000000</v>
      </c>
      <c r="I187">
        <v>65979000000</v>
      </c>
      <c r="K187">
        <v>324000000</v>
      </c>
    </row>
    <row r="188" spans="1:11" x14ac:dyDescent="0.25">
      <c r="A188">
        <v>2016</v>
      </c>
      <c r="B188">
        <v>3</v>
      </c>
      <c r="C188" t="s">
        <v>6</v>
      </c>
      <c r="D188">
        <v>10483000000</v>
      </c>
      <c r="E188">
        <v>9071000000</v>
      </c>
      <c r="F188">
        <v>8514000000</v>
      </c>
      <c r="G188">
        <v>1259000000</v>
      </c>
      <c r="H188">
        <v>58973000000</v>
      </c>
      <c r="I188">
        <v>69028000000</v>
      </c>
      <c r="K188">
        <v>326000000</v>
      </c>
    </row>
    <row r="189" spans="1:11" x14ac:dyDescent="0.25">
      <c r="A189">
        <v>2016</v>
      </c>
      <c r="B189">
        <v>4</v>
      </c>
      <c r="C189" t="s">
        <v>6</v>
      </c>
      <c r="D189">
        <v>9458000000</v>
      </c>
      <c r="E189">
        <v>7974000000</v>
      </c>
      <c r="F189">
        <v>8438000000</v>
      </c>
      <c r="G189">
        <v>622000000</v>
      </c>
      <c r="H189">
        <v>49985000000</v>
      </c>
      <c r="I189">
        <v>58715000000</v>
      </c>
      <c r="J189">
        <v>5999000000</v>
      </c>
      <c r="K189">
        <v>193000000</v>
      </c>
    </row>
    <row r="190" spans="1:11" x14ac:dyDescent="0.25">
      <c r="A190">
        <v>2015</v>
      </c>
      <c r="B190">
        <v>1</v>
      </c>
      <c r="C190" t="s">
        <v>6</v>
      </c>
      <c r="D190">
        <v>9388000000</v>
      </c>
      <c r="E190">
        <v>7923000000</v>
      </c>
      <c r="F190">
        <v>7990000000</v>
      </c>
      <c r="G190">
        <v>746000000</v>
      </c>
      <c r="H190">
        <v>46221000000</v>
      </c>
      <c r="I190">
        <v>56597000000</v>
      </c>
      <c r="K190">
        <v>136000000</v>
      </c>
    </row>
    <row r="191" spans="1:11" x14ac:dyDescent="0.25">
      <c r="A191">
        <v>2015</v>
      </c>
      <c r="B191">
        <v>2</v>
      </c>
      <c r="C191" t="s">
        <v>6</v>
      </c>
      <c r="D191">
        <v>10707000000</v>
      </c>
      <c r="E191">
        <v>9139000000</v>
      </c>
      <c r="F191">
        <v>8233000000</v>
      </c>
      <c r="G191">
        <v>1485000000</v>
      </c>
      <c r="H191">
        <v>54755000000</v>
      </c>
      <c r="I191">
        <v>63937000000</v>
      </c>
      <c r="K191">
        <v>411000000</v>
      </c>
    </row>
    <row r="192" spans="1:11" x14ac:dyDescent="0.25">
      <c r="A192">
        <v>2015</v>
      </c>
      <c r="B192">
        <v>3</v>
      </c>
      <c r="C192" t="s">
        <v>6</v>
      </c>
      <c r="D192">
        <v>11107000000</v>
      </c>
      <c r="E192">
        <v>9595000000</v>
      </c>
      <c r="F192">
        <v>8894000000</v>
      </c>
      <c r="G192">
        <v>1315000000</v>
      </c>
      <c r="H192">
        <v>59076000000</v>
      </c>
      <c r="I192">
        <v>68031000000</v>
      </c>
      <c r="K192">
        <v>563000000</v>
      </c>
    </row>
    <row r="193" spans="1:11" x14ac:dyDescent="0.25">
      <c r="A193">
        <v>2015</v>
      </c>
      <c r="B193">
        <v>4</v>
      </c>
      <c r="C193" t="s">
        <v>6</v>
      </c>
      <c r="D193">
        <v>9502000000</v>
      </c>
      <c r="E193">
        <v>8125000000</v>
      </c>
      <c r="F193">
        <v>7785000000</v>
      </c>
      <c r="G193">
        <v>980000000</v>
      </c>
      <c r="H193">
        <v>49573000000</v>
      </c>
      <c r="I193">
        <v>58199000000</v>
      </c>
      <c r="J193">
        <v>6531000000</v>
      </c>
      <c r="K193">
        <v>380000000</v>
      </c>
    </row>
    <row r="194" spans="1:11" x14ac:dyDescent="0.25">
      <c r="A194">
        <v>2014</v>
      </c>
      <c r="B194">
        <v>1</v>
      </c>
      <c r="C194" t="s">
        <v>6</v>
      </c>
      <c r="D194">
        <v>8916000000</v>
      </c>
      <c r="E194">
        <v>7677000000</v>
      </c>
      <c r="F194">
        <v>8296000000</v>
      </c>
      <c r="G194">
        <v>213000000</v>
      </c>
      <c r="H194">
        <v>44601000000</v>
      </c>
      <c r="I194">
        <v>53904000000</v>
      </c>
      <c r="K194">
        <v>99000000</v>
      </c>
    </row>
    <row r="195" spans="1:11" x14ac:dyDescent="0.25">
      <c r="A195">
        <v>2014</v>
      </c>
      <c r="B195">
        <v>2</v>
      </c>
      <c r="C195" t="s">
        <v>6</v>
      </c>
      <c r="D195">
        <v>10621000000</v>
      </c>
      <c r="E195">
        <v>9266000000</v>
      </c>
      <c r="F195">
        <v>9042000000</v>
      </c>
      <c r="G195">
        <v>801000000</v>
      </c>
      <c r="H195">
        <v>53341000000</v>
      </c>
      <c r="I195">
        <v>61817000000</v>
      </c>
      <c r="K195">
        <v>340000000</v>
      </c>
    </row>
    <row r="196" spans="1:11" x14ac:dyDescent="0.25">
      <c r="A196">
        <v>2014</v>
      </c>
      <c r="B196">
        <v>3</v>
      </c>
      <c r="C196" t="s">
        <v>6</v>
      </c>
      <c r="D196">
        <v>11178000000</v>
      </c>
      <c r="E196">
        <v>9776000000</v>
      </c>
      <c r="F196">
        <v>10343000000</v>
      </c>
      <c r="G196">
        <v>357000000</v>
      </c>
      <c r="H196">
        <v>56955000000</v>
      </c>
      <c r="I196">
        <v>65926000000</v>
      </c>
      <c r="K196">
        <v>384000000</v>
      </c>
    </row>
    <row r="197" spans="1:11" x14ac:dyDescent="0.25">
      <c r="A197">
        <v>2014</v>
      </c>
      <c r="B197">
        <v>4</v>
      </c>
      <c r="C197" t="s">
        <v>6</v>
      </c>
      <c r="D197">
        <v>9647000000</v>
      </c>
      <c r="E197">
        <v>8235000000</v>
      </c>
      <c r="F197">
        <v>10475000000</v>
      </c>
      <c r="G197">
        <v>-712000000</v>
      </c>
      <c r="H197">
        <v>48028000000</v>
      </c>
      <c r="I197">
        <v>58029000000</v>
      </c>
      <c r="J197">
        <v>8188000000</v>
      </c>
      <c r="K197">
        <v>262000000</v>
      </c>
    </row>
    <row r="198" spans="1:11" x14ac:dyDescent="0.25">
      <c r="A198">
        <v>2017</v>
      </c>
      <c r="B198">
        <v>1</v>
      </c>
      <c r="C198" t="s">
        <v>7</v>
      </c>
      <c r="D198">
        <v>8420000000</v>
      </c>
      <c r="E198">
        <v>7174000000</v>
      </c>
      <c r="F198">
        <v>8142000000</v>
      </c>
      <c r="G198">
        <v>96000000</v>
      </c>
      <c r="H198">
        <v>47611000000</v>
      </c>
      <c r="I198">
        <v>59808000000</v>
      </c>
      <c r="K198">
        <v>28000000</v>
      </c>
    </row>
    <row r="199" spans="1:11" x14ac:dyDescent="0.25">
      <c r="A199">
        <v>2017</v>
      </c>
      <c r="B199">
        <v>2</v>
      </c>
      <c r="C199" t="s">
        <v>7</v>
      </c>
      <c r="D199">
        <v>10000000000</v>
      </c>
      <c r="E199">
        <v>8622000000</v>
      </c>
      <c r="F199">
        <v>8601000000</v>
      </c>
      <c r="G199">
        <v>818000000</v>
      </c>
      <c r="H199">
        <v>56356000000</v>
      </c>
      <c r="I199">
        <v>67467000000</v>
      </c>
      <c r="K199">
        <v>140000000</v>
      </c>
    </row>
    <row r="200" spans="1:11" x14ac:dyDescent="0.25">
      <c r="A200">
        <v>2017</v>
      </c>
      <c r="B200">
        <v>3</v>
      </c>
      <c r="C200" t="s">
        <v>7</v>
      </c>
      <c r="D200">
        <v>9878000000</v>
      </c>
      <c r="E200">
        <v>8528000000</v>
      </c>
      <c r="F200">
        <v>8786000000</v>
      </c>
      <c r="G200">
        <v>637000000</v>
      </c>
      <c r="H200">
        <v>59145000000</v>
      </c>
      <c r="I200">
        <v>70083000000</v>
      </c>
      <c r="K200">
        <v>109000000</v>
      </c>
    </row>
    <row r="201" spans="1:11" x14ac:dyDescent="0.25">
      <c r="A201">
        <v>2017</v>
      </c>
      <c r="B201">
        <v>4</v>
      </c>
      <c r="C201" t="s">
        <v>7</v>
      </c>
      <c r="D201">
        <v>9438000000</v>
      </c>
      <c r="E201">
        <v>8080000000</v>
      </c>
      <c r="F201">
        <v>8709000000</v>
      </c>
      <c r="G201">
        <v>580000000</v>
      </c>
      <c r="H201">
        <v>53149000000</v>
      </c>
      <c r="I201">
        <v>65028000000</v>
      </c>
      <c r="J201">
        <v>11703000000</v>
      </c>
      <c r="K201">
        <v>73000000</v>
      </c>
    </row>
    <row r="202" spans="1:11" x14ac:dyDescent="0.25">
      <c r="A202">
        <v>2016</v>
      </c>
      <c r="B202">
        <v>1</v>
      </c>
      <c r="C202" t="s">
        <v>7</v>
      </c>
      <c r="D202">
        <v>8195000000</v>
      </c>
      <c r="E202">
        <v>6990000000</v>
      </c>
      <c r="F202">
        <v>7546000000</v>
      </c>
      <c r="G202">
        <v>313000000</v>
      </c>
      <c r="H202">
        <v>46582000000</v>
      </c>
      <c r="I202">
        <v>58273000000</v>
      </c>
      <c r="K202">
        <v>94000000</v>
      </c>
    </row>
    <row r="203" spans="1:11" x14ac:dyDescent="0.25">
      <c r="A203">
        <v>2016</v>
      </c>
      <c r="B203">
        <v>2</v>
      </c>
      <c r="C203" t="s">
        <v>7</v>
      </c>
      <c r="D203">
        <v>9396000000</v>
      </c>
      <c r="E203">
        <v>8103000000</v>
      </c>
      <c r="F203">
        <v>8336000000</v>
      </c>
      <c r="G203">
        <v>588000000</v>
      </c>
      <c r="H203">
        <v>54017000000</v>
      </c>
      <c r="I203">
        <v>64725000000</v>
      </c>
      <c r="K203">
        <v>153000000</v>
      </c>
    </row>
    <row r="204" spans="1:11" x14ac:dyDescent="0.25">
      <c r="A204">
        <v>2016</v>
      </c>
      <c r="B204">
        <v>3</v>
      </c>
      <c r="C204" t="s">
        <v>7</v>
      </c>
      <c r="D204">
        <v>9913000000</v>
      </c>
      <c r="E204">
        <v>8603000000</v>
      </c>
      <c r="F204">
        <v>8289000000</v>
      </c>
      <c r="G204">
        <v>965000000</v>
      </c>
      <c r="H204">
        <v>58172000000</v>
      </c>
      <c r="I204">
        <v>68074000000</v>
      </c>
      <c r="K204">
        <v>235000000</v>
      </c>
    </row>
    <row r="205" spans="1:11" x14ac:dyDescent="0.25">
      <c r="A205">
        <v>2016</v>
      </c>
      <c r="B205">
        <v>4</v>
      </c>
      <c r="C205" t="s">
        <v>7</v>
      </c>
      <c r="D205">
        <v>9052000000</v>
      </c>
      <c r="E205">
        <v>7761000000</v>
      </c>
      <c r="F205">
        <v>8047000000</v>
      </c>
      <c r="G205">
        <v>397000000</v>
      </c>
      <c r="H205">
        <v>51538000000</v>
      </c>
      <c r="I205">
        <v>62518000000</v>
      </c>
      <c r="J205">
        <v>9918000000</v>
      </c>
      <c r="K205">
        <v>145000000</v>
      </c>
    </row>
    <row r="206" spans="1:11" x14ac:dyDescent="0.25">
      <c r="A206">
        <v>2015</v>
      </c>
      <c r="B206">
        <v>1</v>
      </c>
      <c r="C206" t="s">
        <v>7</v>
      </c>
      <c r="D206">
        <v>8608000000</v>
      </c>
      <c r="E206">
        <v>7420000000</v>
      </c>
      <c r="F206">
        <v>7867000000</v>
      </c>
      <c r="G206">
        <v>508000000</v>
      </c>
      <c r="H206">
        <v>46444000000</v>
      </c>
      <c r="I206">
        <v>57269000000</v>
      </c>
      <c r="K206">
        <v>100000000</v>
      </c>
    </row>
    <row r="207" spans="1:11" x14ac:dyDescent="0.25">
      <c r="A207">
        <v>2015</v>
      </c>
      <c r="B207">
        <v>2</v>
      </c>
      <c r="C207" t="s">
        <v>7</v>
      </c>
      <c r="D207">
        <v>9914000000</v>
      </c>
      <c r="E207">
        <v>8676000000</v>
      </c>
      <c r="F207">
        <v>8469000000</v>
      </c>
      <c r="G207">
        <v>1193000000</v>
      </c>
      <c r="H207">
        <v>54289000000</v>
      </c>
      <c r="I207">
        <v>64685000000</v>
      </c>
      <c r="K207">
        <v>195000000</v>
      </c>
    </row>
    <row r="208" spans="1:11" x14ac:dyDescent="0.25">
      <c r="A208">
        <v>2015</v>
      </c>
      <c r="B208">
        <v>3</v>
      </c>
      <c r="C208" t="s">
        <v>7</v>
      </c>
      <c r="D208">
        <v>10306000000</v>
      </c>
      <c r="E208">
        <v>8960000000</v>
      </c>
      <c r="F208">
        <v>8407000000</v>
      </c>
      <c r="G208">
        <v>4816000000</v>
      </c>
      <c r="H208">
        <v>57160000000</v>
      </c>
      <c r="I208">
        <v>66745000000</v>
      </c>
      <c r="K208">
        <v>257000000</v>
      </c>
    </row>
    <row r="209" spans="1:11" x14ac:dyDescent="0.25">
      <c r="A209">
        <v>2015</v>
      </c>
      <c r="B209">
        <v>4</v>
      </c>
      <c r="C209" t="s">
        <v>7</v>
      </c>
      <c r="D209">
        <v>9036000000</v>
      </c>
      <c r="E209">
        <v>7729000000</v>
      </c>
      <c r="F209">
        <v>7955000000</v>
      </c>
      <c r="G209">
        <v>823000000</v>
      </c>
      <c r="H209">
        <v>50718000000</v>
      </c>
      <c r="I209">
        <v>61304000000</v>
      </c>
      <c r="J209">
        <v>9673000000</v>
      </c>
      <c r="K209">
        <v>146000000</v>
      </c>
    </row>
    <row r="210" spans="1:11" x14ac:dyDescent="0.25">
      <c r="A210">
        <v>2014</v>
      </c>
      <c r="B210">
        <v>1</v>
      </c>
      <c r="C210" t="s">
        <v>7</v>
      </c>
      <c r="D210">
        <v>8696000000</v>
      </c>
      <c r="E210">
        <v>7384000000</v>
      </c>
      <c r="F210">
        <v>9045000000</v>
      </c>
      <c r="G210">
        <v>-609000000</v>
      </c>
      <c r="H210">
        <v>46383000000</v>
      </c>
      <c r="I210">
        <v>57216000000</v>
      </c>
      <c r="K210">
        <v>0</v>
      </c>
    </row>
    <row r="211" spans="1:11" x14ac:dyDescent="0.25">
      <c r="A211">
        <v>2014</v>
      </c>
      <c r="B211">
        <v>2</v>
      </c>
      <c r="C211" t="s">
        <v>7</v>
      </c>
      <c r="D211">
        <v>10329000000</v>
      </c>
      <c r="E211">
        <v>8981000000</v>
      </c>
      <c r="F211">
        <v>9423000000</v>
      </c>
      <c r="G211">
        <v>789000000</v>
      </c>
      <c r="H211">
        <v>53900000000</v>
      </c>
      <c r="I211">
        <v>63214000000</v>
      </c>
      <c r="K211">
        <v>78000000</v>
      </c>
    </row>
    <row r="212" spans="1:11" x14ac:dyDescent="0.25">
      <c r="A212">
        <v>2014</v>
      </c>
      <c r="B212">
        <v>3</v>
      </c>
      <c r="C212" t="s">
        <v>7</v>
      </c>
      <c r="D212">
        <v>10563000000</v>
      </c>
      <c r="E212">
        <v>9314000000</v>
      </c>
      <c r="F212">
        <v>9372000000</v>
      </c>
      <c r="G212">
        <v>924000000</v>
      </c>
      <c r="H212">
        <v>56065000000</v>
      </c>
      <c r="I212">
        <v>65378000000</v>
      </c>
      <c r="K212">
        <v>103000000</v>
      </c>
    </row>
    <row r="213" spans="1:11" x14ac:dyDescent="0.25">
      <c r="A213">
        <v>2014</v>
      </c>
      <c r="B213">
        <v>4</v>
      </c>
      <c r="C213" t="s">
        <v>7</v>
      </c>
      <c r="D213">
        <v>9313000000</v>
      </c>
      <c r="E213">
        <v>8083000000</v>
      </c>
      <c r="F213">
        <v>8688000000</v>
      </c>
      <c r="G213">
        <v>28000000</v>
      </c>
      <c r="H213">
        <v>49211000000</v>
      </c>
      <c r="I213">
        <v>60213000000</v>
      </c>
      <c r="J213">
        <v>9953000000</v>
      </c>
      <c r="K213">
        <v>54000000</v>
      </c>
    </row>
    <row r="214" spans="1:11" x14ac:dyDescent="0.25">
      <c r="A214">
        <v>2024</v>
      </c>
      <c r="B214">
        <v>4</v>
      </c>
      <c r="C214" t="s">
        <v>6</v>
      </c>
      <c r="D214">
        <v>15559000000</v>
      </c>
      <c r="E214">
        <v>12815000000</v>
      </c>
      <c r="F214">
        <v>13842000000</v>
      </c>
      <c r="G214">
        <v>843000000</v>
      </c>
      <c r="H214">
        <v>60387000000</v>
      </c>
      <c r="I214">
        <v>72035000000</v>
      </c>
      <c r="J214">
        <v>13546000000</v>
      </c>
      <c r="K214">
        <v>425000000</v>
      </c>
    </row>
    <row r="215" spans="1:11" x14ac:dyDescent="0.25">
      <c r="A215">
        <v>2024</v>
      </c>
      <c r="B215" t="s">
        <v>8</v>
      </c>
      <c r="C215" t="s">
        <v>6</v>
      </c>
      <c r="D215">
        <v>61643000000</v>
      </c>
      <c r="E215">
        <v>50894000000</v>
      </c>
      <c r="F215">
        <v>55648000000</v>
      </c>
      <c r="G215">
        <v>3457000000</v>
      </c>
      <c r="H215">
        <v>246145000000</v>
      </c>
      <c r="I215">
        <v>288394000000</v>
      </c>
      <c r="J215">
        <v>13546000000</v>
      </c>
      <c r="K215">
        <v>1389000000</v>
      </c>
    </row>
    <row r="216" spans="1:11" x14ac:dyDescent="0.25">
      <c r="A216">
        <v>2024</v>
      </c>
      <c r="B216">
        <v>4</v>
      </c>
      <c r="C216" t="s">
        <v>7</v>
      </c>
      <c r="D216">
        <v>14695000000</v>
      </c>
      <c r="E216">
        <v>13275000000</v>
      </c>
      <c r="F216">
        <v>13192000000</v>
      </c>
      <c r="G216">
        <v>985000000</v>
      </c>
      <c r="H216">
        <v>64463000000</v>
      </c>
      <c r="I216">
        <v>78298000000</v>
      </c>
      <c r="J216">
        <v>21680000000</v>
      </c>
      <c r="K216">
        <v>294000000</v>
      </c>
    </row>
    <row r="217" spans="1:11" x14ac:dyDescent="0.25">
      <c r="A217">
        <v>2024</v>
      </c>
      <c r="B217" t="s">
        <v>8</v>
      </c>
      <c r="C217" t="s">
        <v>7</v>
      </c>
      <c r="D217">
        <v>57063000000</v>
      </c>
      <c r="E217">
        <v>51829000000</v>
      </c>
      <c r="F217">
        <v>51967000000</v>
      </c>
      <c r="G217">
        <v>3149000000</v>
      </c>
      <c r="H217">
        <v>258503000000</v>
      </c>
      <c r="I217">
        <v>311185000000</v>
      </c>
      <c r="J217">
        <v>21680000000</v>
      </c>
      <c r="K217">
        <v>713000000</v>
      </c>
    </row>
    <row r="218" spans="1:11" x14ac:dyDescent="0.25">
      <c r="A218">
        <v>2024</v>
      </c>
      <c r="B218">
        <v>4</v>
      </c>
      <c r="C218" t="s">
        <v>5</v>
      </c>
      <c r="D218">
        <v>13660000000</v>
      </c>
      <c r="E218">
        <v>12402000000</v>
      </c>
      <c r="F218">
        <v>12526000000</v>
      </c>
      <c r="G218">
        <v>590000000</v>
      </c>
      <c r="H218">
        <v>60676000000</v>
      </c>
      <c r="I218">
        <v>71503000000</v>
      </c>
      <c r="J218">
        <v>24617000000</v>
      </c>
      <c r="K218">
        <f>ROUND($K$219*((D218-F218)/($D$219-$F$219)),0)</f>
        <v>98910482</v>
      </c>
    </row>
    <row r="219" spans="1:11" x14ac:dyDescent="0.25">
      <c r="A219">
        <v>2024</v>
      </c>
      <c r="B219" t="s">
        <v>8</v>
      </c>
      <c r="C219" t="s">
        <v>5</v>
      </c>
      <c r="D219">
        <v>54211000000</v>
      </c>
      <c r="E219">
        <v>49586000000</v>
      </c>
      <c r="F219">
        <v>51597000000</v>
      </c>
      <c r="G219">
        <v>846000000</v>
      </c>
      <c r="H219">
        <v>248795000000</v>
      </c>
      <c r="I219">
        <v>292948000000</v>
      </c>
      <c r="J219">
        <v>24617000000</v>
      </c>
      <c r="K219">
        <v>228000000</v>
      </c>
    </row>
    <row r="220" spans="1:11" x14ac:dyDescent="0.25">
      <c r="A220">
        <v>2024</v>
      </c>
      <c r="B220">
        <v>4</v>
      </c>
      <c r="C220" t="s">
        <v>13</v>
      </c>
      <c r="D220">
        <v>6931000000</v>
      </c>
      <c r="E220">
        <v>6307000000</v>
      </c>
      <c r="F220">
        <v>6653000000</v>
      </c>
      <c r="G220">
        <v>261000000</v>
      </c>
      <c r="H220">
        <v>34471000000</v>
      </c>
      <c r="I220">
        <v>43533000000</v>
      </c>
      <c r="J220">
        <v>5069000000</v>
      </c>
      <c r="K220">
        <v>54000000</v>
      </c>
    </row>
    <row r="221" spans="1:11" x14ac:dyDescent="0.25">
      <c r="A221">
        <v>2024</v>
      </c>
      <c r="B221" t="s">
        <v>8</v>
      </c>
      <c r="C221" t="s">
        <v>13</v>
      </c>
      <c r="D221">
        <v>27483000000</v>
      </c>
      <c r="E221">
        <v>24980000000</v>
      </c>
      <c r="F221">
        <v>27162000000</v>
      </c>
      <c r="G221">
        <v>465000000</v>
      </c>
      <c r="H221">
        <v>142515000000</v>
      </c>
      <c r="I221">
        <v>177250000000</v>
      </c>
      <c r="J221">
        <v>5069000000</v>
      </c>
      <c r="K221">
        <v>103000000</v>
      </c>
    </row>
    <row r="222" spans="1:11" x14ac:dyDescent="0.25">
      <c r="A222">
        <v>2025</v>
      </c>
      <c r="B222">
        <v>1</v>
      </c>
      <c r="C222" t="s">
        <v>6</v>
      </c>
      <c r="D222">
        <v>14040000000</v>
      </c>
      <c r="E222">
        <v>11480000000</v>
      </c>
      <c r="F222">
        <v>13471000000</v>
      </c>
      <c r="G222">
        <v>240000000</v>
      </c>
      <c r="H222">
        <v>55678000000</v>
      </c>
      <c r="I222">
        <v>68401000000</v>
      </c>
      <c r="J222">
        <v>12432000000</v>
      </c>
      <c r="K222">
        <v>124000000</v>
      </c>
    </row>
    <row r="223" spans="1:11" x14ac:dyDescent="0.25">
      <c r="A223">
        <v>2025</v>
      </c>
      <c r="B223">
        <v>1</v>
      </c>
      <c r="C223" t="s">
        <v>7</v>
      </c>
      <c r="D223">
        <v>13213000000</v>
      </c>
      <c r="E223">
        <v>11860000000</v>
      </c>
      <c r="F223">
        <v>12605000000</v>
      </c>
      <c r="G223">
        <v>387000000</v>
      </c>
      <c r="H223">
        <v>59517000000</v>
      </c>
      <c r="I223">
        <v>75155000000</v>
      </c>
      <c r="K223">
        <v>43000000</v>
      </c>
    </row>
    <row r="224" spans="1:11" x14ac:dyDescent="0.25">
      <c r="A224">
        <v>2025</v>
      </c>
      <c r="B224">
        <v>1</v>
      </c>
      <c r="C224" t="s">
        <v>5</v>
      </c>
      <c r="D224">
        <v>12551000000</v>
      </c>
      <c r="E224">
        <v>11391000000</v>
      </c>
      <c r="F224">
        <v>12821000000</v>
      </c>
      <c r="G224">
        <v>-473000000</v>
      </c>
      <c r="H224">
        <v>56356000000</v>
      </c>
      <c r="I224">
        <v>69904000000</v>
      </c>
      <c r="J224">
        <v>24705000000</v>
      </c>
      <c r="K224">
        <v>0</v>
      </c>
    </row>
    <row r="225" spans="1:11" x14ac:dyDescent="0.25">
      <c r="A225">
        <v>2025</v>
      </c>
      <c r="B225">
        <v>1</v>
      </c>
      <c r="C225" t="s">
        <v>13</v>
      </c>
      <c r="D225">
        <v>6428000000</v>
      </c>
      <c r="E225">
        <v>5811000000</v>
      </c>
      <c r="F225">
        <v>6651000000</v>
      </c>
      <c r="G225">
        <v>-149000000</v>
      </c>
      <c r="H225">
        <v>30629000000</v>
      </c>
      <c r="I225">
        <v>41432000000</v>
      </c>
      <c r="J225">
        <v>4086000000</v>
      </c>
      <c r="K225">
        <v>0</v>
      </c>
    </row>
    <row r="226" spans="1:11" x14ac:dyDescent="0.25">
      <c r="A226">
        <v>2025</v>
      </c>
      <c r="B226">
        <v>2</v>
      </c>
      <c r="C226" t="s">
        <v>6</v>
      </c>
      <c r="D226">
        <v>16648000000</v>
      </c>
      <c r="E226">
        <v>13867000000</v>
      </c>
      <c r="F226">
        <v>14546000000</v>
      </c>
      <c r="G226">
        <v>2130000000</v>
      </c>
      <c r="H226">
        <v>66417000000</v>
      </c>
      <c r="I226">
        <v>77645000000</v>
      </c>
      <c r="J226">
        <v>12400000000</v>
      </c>
      <c r="K226">
        <v>470000000</v>
      </c>
    </row>
    <row r="227" spans="1:11" x14ac:dyDescent="0.25">
      <c r="A227">
        <v>2025</v>
      </c>
      <c r="B227">
        <v>2</v>
      </c>
      <c r="C227" t="s">
        <v>7</v>
      </c>
      <c r="D227">
        <v>15236000000</v>
      </c>
      <c r="E227">
        <v>13836000000</v>
      </c>
      <c r="F227">
        <v>13911000000</v>
      </c>
      <c r="G227">
        <v>973000000</v>
      </c>
      <c r="H227">
        <v>70088000000</v>
      </c>
      <c r="I227">
        <v>84347000000</v>
      </c>
      <c r="K227">
        <v>188000000</v>
      </c>
    </row>
    <row r="228" spans="1:11" x14ac:dyDescent="0.25">
      <c r="A228">
        <v>2025</v>
      </c>
      <c r="B228">
        <v>2</v>
      </c>
      <c r="C228" t="s">
        <v>5</v>
      </c>
      <c r="D228">
        <v>14392000000</v>
      </c>
      <c r="E228">
        <v>13123000000</v>
      </c>
      <c r="F228">
        <v>13257000000</v>
      </c>
      <c r="G228">
        <v>599000000</v>
      </c>
      <c r="H228">
        <v>65762000000</v>
      </c>
      <c r="I228">
        <v>77636000000</v>
      </c>
      <c r="J228">
        <v>24217000000</v>
      </c>
      <c r="K228">
        <v>41000000</v>
      </c>
    </row>
    <row r="229" spans="1:11" x14ac:dyDescent="0.25">
      <c r="A229">
        <v>2025</v>
      </c>
      <c r="B229">
        <v>2</v>
      </c>
      <c r="C229" t="s">
        <v>13</v>
      </c>
      <c r="D229">
        <v>7244000000</v>
      </c>
      <c r="E229">
        <v>6627000000</v>
      </c>
      <c r="F229">
        <v>7019000000</v>
      </c>
      <c r="G229">
        <v>213000000</v>
      </c>
      <c r="H229">
        <v>36885000000</v>
      </c>
      <c r="I229">
        <v>46996000000</v>
      </c>
      <c r="J229">
        <v>4081000000</v>
      </c>
      <c r="K229">
        <v>14000000</v>
      </c>
    </row>
    <row r="230" spans="1:11" x14ac:dyDescent="0.25">
      <c r="A230">
        <v>2025</v>
      </c>
      <c r="B230">
        <v>3</v>
      </c>
      <c r="C230" t="s">
        <v>6</v>
      </c>
      <c r="D230">
        <v>16673000000</v>
      </c>
      <c r="E230">
        <v>13506000000</v>
      </c>
      <c r="F230">
        <v>14989000000</v>
      </c>
      <c r="G230">
        <v>1417000000</v>
      </c>
      <c r="H230">
        <v>67621000000</v>
      </c>
      <c r="I230">
        <v>79054000000</v>
      </c>
      <c r="J230">
        <v>12299000000</v>
      </c>
      <c r="K230">
        <v>392000000</v>
      </c>
    </row>
    <row r="231" spans="1:11" x14ac:dyDescent="0.25">
      <c r="A231">
        <v>2025</v>
      </c>
      <c r="B231">
        <v>3</v>
      </c>
      <c r="C231" t="s">
        <v>7</v>
      </c>
      <c r="D231">
        <v>15225000000</v>
      </c>
      <c r="E231">
        <v>13815000000</v>
      </c>
      <c r="F231">
        <v>13830000000</v>
      </c>
      <c r="G231">
        <v>949000000</v>
      </c>
      <c r="H231">
        <v>73769000000</v>
      </c>
      <c r="I231">
        <v>87417000000</v>
      </c>
      <c r="K231">
        <v>228000000</v>
      </c>
    </row>
    <row r="232" spans="1:11" x14ac:dyDescent="0.25">
      <c r="A232">
        <v>2025</v>
      </c>
      <c r="B232">
        <v>3</v>
      </c>
      <c r="C232" t="s">
        <v>5</v>
      </c>
      <c r="D232">
        <v>13691000000</v>
      </c>
      <c r="E232">
        <v>12471000000</v>
      </c>
      <c r="F232">
        <v>13540000000</v>
      </c>
      <c r="G232">
        <v>-114000000</v>
      </c>
      <c r="H232">
        <v>66580000000</v>
      </c>
      <c r="I232">
        <v>77400000000</v>
      </c>
      <c r="J232">
        <v>24538000000</v>
      </c>
      <c r="K232">
        <v>0</v>
      </c>
    </row>
    <row r="233" spans="1:11" x14ac:dyDescent="0.25">
      <c r="A233">
        <v>2025</v>
      </c>
      <c r="B233">
        <v>3</v>
      </c>
      <c r="C233" t="s">
        <v>13</v>
      </c>
      <c r="D233">
        <v>6949000000</v>
      </c>
      <c r="E233">
        <v>6313000000</v>
      </c>
      <c r="F233">
        <v>6914000000</v>
      </c>
      <c r="G233">
        <v>54000000</v>
      </c>
      <c r="H233">
        <v>36362000000</v>
      </c>
      <c r="I233">
        <v>45567000000</v>
      </c>
      <c r="J233">
        <v>4079000000</v>
      </c>
      <c r="K233">
        <v>11000000</v>
      </c>
    </row>
    <row r="234" spans="1:11" x14ac:dyDescent="0.25">
      <c r="A234">
        <v>2025</v>
      </c>
      <c r="B234">
        <v>4</v>
      </c>
      <c r="C234" t="s">
        <v>6</v>
      </c>
      <c r="D234">
        <v>16003000000</v>
      </c>
      <c r="E234">
        <v>12916000000</v>
      </c>
      <c r="F234">
        <v>14536000000</v>
      </c>
      <c r="G234">
        <v>1219000000</v>
      </c>
      <c r="H234">
        <v>59861000000</v>
      </c>
      <c r="I234">
        <v>72946000000</v>
      </c>
      <c r="J234">
        <v>11936000000</v>
      </c>
      <c r="K234">
        <v>351000000</v>
      </c>
    </row>
    <row r="235" spans="1:11" x14ac:dyDescent="0.25">
      <c r="A235">
        <v>2025</v>
      </c>
      <c r="B235" t="s">
        <v>8</v>
      </c>
      <c r="C235" t="s">
        <v>6</v>
      </c>
      <c r="D235">
        <v>63364000000</v>
      </c>
      <c r="E235">
        <v>51768000000</v>
      </c>
      <c r="F235">
        <v>57542000000</v>
      </c>
      <c r="G235">
        <v>5005000000</v>
      </c>
      <c r="H235">
        <v>249578000000</v>
      </c>
      <c r="I235">
        <v>298045000000</v>
      </c>
      <c r="J235">
        <v>11936000000</v>
      </c>
      <c r="K235">
        <v>1337000000</v>
      </c>
    </row>
    <row r="236" spans="1:11" x14ac:dyDescent="0.25">
      <c r="A236">
        <v>2025</v>
      </c>
      <c r="B236">
        <v>4</v>
      </c>
      <c r="C236" t="s">
        <v>7</v>
      </c>
      <c r="D236">
        <v>15397000000</v>
      </c>
      <c r="E236">
        <v>13926000000</v>
      </c>
      <c r="F236">
        <v>14011000000</v>
      </c>
      <c r="G236">
        <v>1044000000</v>
      </c>
      <c r="H236">
        <v>68246000000</v>
      </c>
      <c r="I236">
        <v>83365000000</v>
      </c>
      <c r="J236">
        <v>17170000000</v>
      </c>
      <c r="K236">
        <v>244000000</v>
      </c>
    </row>
    <row r="237" spans="1:11" x14ac:dyDescent="0.25">
      <c r="A237">
        <v>2025</v>
      </c>
      <c r="B237" t="s">
        <v>8</v>
      </c>
      <c r="C237" t="s">
        <v>7</v>
      </c>
      <c r="D237">
        <v>59070000000</v>
      </c>
      <c r="E237">
        <v>53438000000</v>
      </c>
      <c r="F237">
        <v>54356000000</v>
      </c>
      <c r="G237">
        <v>3353000000</v>
      </c>
      <c r="H237">
        <v>271619000000</v>
      </c>
      <c r="I237">
        <v>330284000000</v>
      </c>
      <c r="J237">
        <v>17170000000</v>
      </c>
      <c r="K237">
        <v>704000000</v>
      </c>
    </row>
    <row r="238" spans="1:11" x14ac:dyDescent="0.25">
      <c r="A238">
        <v>2025</v>
      </c>
      <c r="B238">
        <v>4</v>
      </c>
      <c r="C238" t="s">
        <v>13</v>
      </c>
      <c r="D238">
        <v>7442000000</v>
      </c>
      <c r="E238">
        <v>6785000000</v>
      </c>
      <c r="F238">
        <v>7051000000</v>
      </c>
      <c r="G238">
        <v>323000000</v>
      </c>
      <c r="H238">
        <v>35567000000</v>
      </c>
      <c r="I238">
        <v>46052000000</v>
      </c>
      <c r="J238">
        <v>4577000000</v>
      </c>
      <c r="K238">
        <v>71000000</v>
      </c>
    </row>
    <row r="239" spans="1:11" x14ac:dyDescent="0.25">
      <c r="A239">
        <v>2025</v>
      </c>
      <c r="B239" t="s">
        <v>8</v>
      </c>
      <c r="C239" t="s">
        <v>13</v>
      </c>
      <c r="D239">
        <v>28063000000</v>
      </c>
      <c r="E239">
        <v>25535000000</v>
      </c>
      <c r="F239">
        <v>27635000000</v>
      </c>
      <c r="G239">
        <v>441000000</v>
      </c>
      <c r="H239">
        <v>139443000000</v>
      </c>
      <c r="I239">
        <v>180046000000</v>
      </c>
      <c r="J239">
        <v>4577000000</v>
      </c>
      <c r="K239">
        <v>97000000</v>
      </c>
    </row>
    <row r="240" spans="1:11" x14ac:dyDescent="0.25">
      <c r="A240">
        <v>2025</v>
      </c>
      <c r="B240">
        <v>4</v>
      </c>
      <c r="C240" t="s">
        <v>5</v>
      </c>
      <c r="D240">
        <v>13999000000</v>
      </c>
      <c r="E240">
        <v>12657000000</v>
      </c>
      <c r="F240">
        <v>13548000000</v>
      </c>
      <c r="G240">
        <v>99000000</v>
      </c>
      <c r="H240">
        <v>61596000000</v>
      </c>
      <c r="I240">
        <v>74472000000</v>
      </c>
      <c r="J240">
        <v>24639000000</v>
      </c>
      <c r="K240">
        <f>ROUND($K$241*(((D240-F240)/($D$241-$F$241))/(((D240-F240)/($D$241-$F$241))+((D228-F228)/($D$241-$F$241)))),0)</f>
        <v>15639975</v>
      </c>
    </row>
    <row r="241" spans="1:11" x14ac:dyDescent="0.25">
      <c r="A241">
        <v>2025</v>
      </c>
      <c r="B241" t="s">
        <v>8</v>
      </c>
      <c r="C241" t="s">
        <v>5</v>
      </c>
      <c r="D241">
        <v>54633000000</v>
      </c>
      <c r="E241">
        <v>49643000000</v>
      </c>
      <c r="F241">
        <v>53166000000</v>
      </c>
      <c r="G241">
        <v>111000000</v>
      </c>
      <c r="H241">
        <v>250294000000</v>
      </c>
      <c r="I241">
        <v>299411000000</v>
      </c>
      <c r="J241">
        <v>24639000000</v>
      </c>
      <c r="K241">
        <v>55000000</v>
      </c>
    </row>
    <row r="242" spans="1:11" x14ac:dyDescent="0.25">
      <c r="A242">
        <v>2026</v>
      </c>
      <c r="B242">
        <v>1</v>
      </c>
      <c r="C242" t="s">
        <v>6</v>
      </c>
      <c r="D242">
        <v>15854000000</v>
      </c>
      <c r="E242">
        <v>12302000000</v>
      </c>
      <c r="F242">
        <v>15353000000</v>
      </c>
      <c r="G242">
        <v>-289000000</v>
      </c>
      <c r="H242">
        <v>56470000000</v>
      </c>
      <c r="I242">
        <v>69163000000</v>
      </c>
      <c r="J242">
        <v>10608000000</v>
      </c>
      <c r="K242">
        <v>165000000</v>
      </c>
    </row>
    <row r="243" spans="1:11" x14ac:dyDescent="0.25">
      <c r="A243">
        <v>2026</v>
      </c>
      <c r="B243">
        <v>1</v>
      </c>
      <c r="C243" t="s">
        <v>7</v>
      </c>
      <c r="D243">
        <v>14608000000</v>
      </c>
      <c r="E243">
        <v>13166000000</v>
      </c>
      <c r="F243">
        <v>13611000000</v>
      </c>
      <c r="G243">
        <v>699000000</v>
      </c>
      <c r="H243">
        <v>63385000000</v>
      </c>
      <c r="I243">
        <v>77698000000</v>
      </c>
      <c r="K243">
        <v>59000000</v>
      </c>
    </row>
    <row r="244" spans="1:11" x14ac:dyDescent="0.25">
      <c r="A244">
        <v>2026</v>
      </c>
      <c r="B244">
        <v>1</v>
      </c>
      <c r="C244" t="s">
        <v>5</v>
      </c>
      <c r="D244">
        <v>13912000000</v>
      </c>
      <c r="E244">
        <v>12495000000</v>
      </c>
      <c r="F244">
        <v>13953000000</v>
      </c>
      <c r="G244">
        <v>-382000000</v>
      </c>
      <c r="H244">
        <v>58551000000</v>
      </c>
      <c r="I244">
        <v>72009000000</v>
      </c>
      <c r="J244">
        <v>22934000000</v>
      </c>
      <c r="K244">
        <v>0</v>
      </c>
    </row>
    <row r="245" spans="1:11" x14ac:dyDescent="0.25">
      <c r="A245">
        <v>2026</v>
      </c>
      <c r="B245">
        <v>1</v>
      </c>
      <c r="C245" t="s">
        <v>13</v>
      </c>
      <c r="D245">
        <v>7249000000</v>
      </c>
      <c r="E245">
        <v>6591000000</v>
      </c>
      <c r="F245">
        <v>6919000000</v>
      </c>
      <c r="G245">
        <v>330000000</v>
      </c>
      <c r="H245">
        <v>31151000000</v>
      </c>
      <c r="I245">
        <v>42049000000</v>
      </c>
      <c r="J245">
        <v>4536000000</v>
      </c>
      <c r="K245">
        <v>50000000</v>
      </c>
    </row>
    <row r="246" spans="1:11" x14ac:dyDescent="0.25">
      <c r="A246">
        <v>2026</v>
      </c>
      <c r="B246">
        <v>2</v>
      </c>
      <c r="C246" t="s">
        <v>6</v>
      </c>
      <c r="D246">
        <v>19757000000</v>
      </c>
      <c r="E246">
        <v>15607000000</v>
      </c>
      <c r="F246">
        <v>17893000000</v>
      </c>
      <c r="G246">
        <v>1604000000</v>
      </c>
      <c r="H246">
        <v>66767000000</v>
      </c>
      <c r="I246">
        <v>78694000000</v>
      </c>
      <c r="J246">
        <v>10101000000</v>
      </c>
      <c r="K246">
        <v>328000000</v>
      </c>
    </row>
    <row r="247" spans="1:11" x14ac:dyDescent="0.25">
      <c r="A247">
        <v>2026</v>
      </c>
      <c r="B247">
        <v>2</v>
      </c>
      <c r="C247" t="s">
        <v>7</v>
      </c>
      <c r="D247">
        <v>17672000000</v>
      </c>
      <c r="E247">
        <v>16100000000</v>
      </c>
      <c r="F247">
        <v>16576000000</v>
      </c>
      <c r="G247">
        <v>805000000</v>
      </c>
      <c r="H247">
        <v>72765000000</v>
      </c>
      <c r="I247">
        <v>87279000000</v>
      </c>
      <c r="K247">
        <v>90000000</v>
      </c>
    </row>
    <row r="248" spans="1:11" x14ac:dyDescent="0.25">
      <c r="A248">
        <v>2026</v>
      </c>
      <c r="B248">
        <v>2</v>
      </c>
      <c r="C248" t="s">
        <v>5</v>
      </c>
      <c r="D248">
        <v>16735000000</v>
      </c>
      <c r="E248">
        <v>15214000000</v>
      </c>
      <c r="F248">
        <v>16289000000</v>
      </c>
      <c r="G248">
        <v>71000000</v>
      </c>
      <c r="H248">
        <v>68118000000</v>
      </c>
      <c r="I248">
        <v>81843000000</v>
      </c>
      <c r="K248">
        <v>0</v>
      </c>
    </row>
    <row r="249" spans="1:11" x14ac:dyDescent="0.25">
      <c r="A249">
        <v>2026</v>
      </c>
      <c r="B249">
        <v>2</v>
      </c>
      <c r="C249" t="s">
        <v>13</v>
      </c>
      <c r="D249">
        <v>8432000000</v>
      </c>
      <c r="E249">
        <v>7745000000</v>
      </c>
      <c r="F249">
        <v>8147000000</v>
      </c>
      <c r="G249">
        <v>233000000</v>
      </c>
      <c r="H249">
        <v>37346000000</v>
      </c>
      <c r="I249">
        <v>47093000000</v>
      </c>
      <c r="K249">
        <v>53000000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2026-07-24T13:37:00Z</dcterms:modified>
</cp:coreProperties>
</file>