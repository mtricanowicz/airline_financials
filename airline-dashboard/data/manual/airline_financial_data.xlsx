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GitHub Repos/airline_financials/airline-dashboard/data/manual/"/>
    </mc:Choice>
  </mc:AlternateContent>
  <xr:revisionPtr revIDLastSave="15" documentId="13_ncr:1_{826EDDCB-8DC5-48D4-92ED-2287CEBE3206}" xr6:coauthVersionLast="47" xr6:coauthVersionMax="47" xr10:uidLastSave="{504DDDFE-45E9-48EE-AC9F-46D174CB1856}"/>
  <bookViews>
    <workbookView xWindow="-120" yWindow="-120" windowWidth="29040" windowHeight="15720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0" i="2" l="1"/>
  <c r="K98" i="2"/>
  <c r="K95" i="2"/>
  <c r="K92" i="2"/>
  <c r="K178" i="2"/>
</calcChain>
</file>

<file path=xl/sharedStrings.xml><?xml version="1.0" encoding="utf-8"?>
<sst xmlns="http://schemas.openxmlformats.org/spreadsheetml/2006/main" count="337" uniqueCount="20">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</sst>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9"/>
  <sheetViews>
    <sheetView tabSelected="1" topLeftCell="A167" zoomScaleNormal="100" workbookViewId="0">
      <selection activeCell="J189" sqref="J189"/>
    </sheetView>
  </sheetViews>
  <sheetFormatPr defaultRowHeight="15" x14ac:dyDescent="0.25"/>
  <cols>
    <col min="1" max="1" width="5.5703125" bestFit="1" customWidth="1"/>
    <col min="2" max="2" width="7.28515625" bestFit="1" customWidth="1"/>
    <col min="3" max="3" width="6.140625" bestFit="1" customWidth="1"/>
    <col min="4" max="4" width="16.28515625" bestFit="1" customWidth="1"/>
    <col min="5" max="5" width="16.7109375" bestFit="1" customWidth="1"/>
    <col min="6" max="6" width="16.85546875" bestFit="1" customWidth="1"/>
    <col min="7" max="7" width="12.7109375" bestFit="1" customWidth="1"/>
    <col min="8" max="9" width="17.140625" customWidth="1"/>
    <col min="10" max="10" width="13.7109375" bestFit="1" customWidth="1"/>
    <col min="11" max="11" width="11.7109375" bestFit="1" customWidth="1"/>
    <col min="12" max="12" width="10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25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J2">
        <v>21946000000</v>
      </c>
      <c r="K2">
        <v>29000000</v>
      </c>
    </row>
    <row r="3" spans="1:11" x14ac:dyDescent="0.25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25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25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J5">
        <v>21863000000</v>
      </c>
      <c r="K5">
        <v>63000000</v>
      </c>
    </row>
    <row r="6" spans="1:11" x14ac:dyDescent="0.25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J6">
        <v>8258000000</v>
      </c>
      <c r="K6">
        <v>404000000</v>
      </c>
    </row>
    <row r="7" spans="1:11" x14ac:dyDescent="0.25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25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J8">
        <v>22274000000</v>
      </c>
      <c r="K8">
        <v>43000000</v>
      </c>
    </row>
    <row r="9" spans="1:11" x14ac:dyDescent="0.25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J9">
        <v>7801000000</v>
      </c>
      <c r="K9">
        <v>399000000</v>
      </c>
    </row>
    <row r="10" spans="1:11" x14ac:dyDescent="0.25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25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J11">
        <v>20566000000</v>
      </c>
      <c r="K11">
        <v>40000000</v>
      </c>
    </row>
    <row r="12" spans="1:11" x14ac:dyDescent="0.25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J12">
        <v>7959000000</v>
      </c>
      <c r="K12">
        <v>311000000</v>
      </c>
    </row>
    <row r="13" spans="1:11" x14ac:dyDescent="0.25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J13">
        <v>12215000000</v>
      </c>
      <c r="K13">
        <v>82000000</v>
      </c>
    </row>
    <row r="14" spans="1:11" x14ac:dyDescent="0.25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25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25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25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J17">
        <v>20065000000</v>
      </c>
      <c r="K17">
        <v>20000000</v>
      </c>
    </row>
    <row r="18" spans="1:11" x14ac:dyDescent="0.25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J18">
        <v>7435000000</v>
      </c>
      <c r="K18">
        <v>220000000</v>
      </c>
    </row>
    <row r="19" spans="1:11" x14ac:dyDescent="0.25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25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J20">
        <v>21222000000</v>
      </c>
      <c r="K20">
        <v>67000000</v>
      </c>
    </row>
    <row r="21" spans="1:11" x14ac:dyDescent="0.25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J21">
        <v>7209000000</v>
      </c>
      <c r="K21">
        <v>518000000</v>
      </c>
    </row>
    <row r="22" spans="1:11" x14ac:dyDescent="0.25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25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J23">
        <v>21055000000</v>
      </c>
      <c r="K23">
        <v>52000000</v>
      </c>
    </row>
    <row r="24" spans="1:11" x14ac:dyDescent="0.25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J24">
        <v>7072000000</v>
      </c>
      <c r="K24">
        <v>517000000</v>
      </c>
    </row>
    <row r="25" spans="1:11" x14ac:dyDescent="0.25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25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J26">
        <v>20896000000</v>
      </c>
      <c r="K26">
        <v>74000000</v>
      </c>
    </row>
    <row r="27" spans="1:11" x14ac:dyDescent="0.25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J27">
        <v>8052000000</v>
      </c>
      <c r="K27">
        <v>387000000</v>
      </c>
    </row>
    <row r="28" spans="1:11" x14ac:dyDescent="0.25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J28">
        <v>13145000000</v>
      </c>
      <c r="K28">
        <v>123000000</v>
      </c>
    </row>
    <row r="29" spans="1:11" x14ac:dyDescent="0.25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25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25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25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J32">
        <v>21033000000</v>
      </c>
      <c r="K32">
        <v>0</v>
      </c>
    </row>
    <row r="33" spans="1:11" x14ac:dyDescent="0.25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J33">
        <v>11750000000</v>
      </c>
      <c r="K33">
        <v>0</v>
      </c>
    </row>
    <row r="34" spans="1:11" x14ac:dyDescent="0.25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25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J35">
        <v>28193000000</v>
      </c>
      <c r="K35">
        <v>0</v>
      </c>
    </row>
    <row r="36" spans="1:11" x14ac:dyDescent="0.25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J36">
        <v>18539000000</v>
      </c>
      <c r="K36">
        <v>0</v>
      </c>
    </row>
    <row r="37" spans="1:11" x14ac:dyDescent="0.25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25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J38">
        <v>29593000000</v>
      </c>
      <c r="K38">
        <v>0</v>
      </c>
    </row>
    <row r="39" spans="1:11" x14ac:dyDescent="0.25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J39">
        <v>28910000000</v>
      </c>
      <c r="K39">
        <v>0</v>
      </c>
    </row>
    <row r="40" spans="1:11" x14ac:dyDescent="0.25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25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J41">
        <v>29324000000</v>
      </c>
      <c r="K41">
        <v>0</v>
      </c>
    </row>
    <row r="42" spans="1:11" x14ac:dyDescent="0.25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J42">
        <v>26531000000</v>
      </c>
      <c r="K42">
        <v>0</v>
      </c>
    </row>
    <row r="43" spans="1:11" x14ac:dyDescent="0.25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J43">
        <v>24836000000</v>
      </c>
      <c r="K43">
        <v>0</v>
      </c>
    </row>
    <row r="44" spans="1:11" x14ac:dyDescent="0.25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25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25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25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J47">
        <v>36785000000</v>
      </c>
      <c r="K47">
        <v>0</v>
      </c>
    </row>
    <row r="48" spans="1:11" x14ac:dyDescent="0.25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J48">
        <v>24802000000</v>
      </c>
      <c r="K48">
        <v>0</v>
      </c>
    </row>
    <row r="49" spans="1:11" x14ac:dyDescent="0.25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25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J50">
        <v>36729000000</v>
      </c>
      <c r="K50">
        <v>0</v>
      </c>
    </row>
    <row r="51" spans="1:11" x14ac:dyDescent="0.25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J51">
        <v>25246000000</v>
      </c>
      <c r="K51">
        <v>0</v>
      </c>
    </row>
    <row r="52" spans="1:11" x14ac:dyDescent="0.25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25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J53">
        <v>35470000000</v>
      </c>
      <c r="K53">
        <v>0</v>
      </c>
    </row>
    <row r="54" spans="1:11" x14ac:dyDescent="0.25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J54">
        <v>24077000000</v>
      </c>
      <c r="K54">
        <v>0</v>
      </c>
    </row>
    <row r="55" spans="1:11" x14ac:dyDescent="0.25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25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J56">
        <v>35008000000</v>
      </c>
      <c r="K56">
        <v>0</v>
      </c>
    </row>
    <row r="57" spans="1:11" x14ac:dyDescent="0.25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J57">
        <v>23582000000</v>
      </c>
      <c r="K57">
        <v>0</v>
      </c>
    </row>
    <row r="58" spans="1:11" x14ac:dyDescent="0.25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J58">
        <v>30361000000</v>
      </c>
      <c r="K58">
        <v>0</v>
      </c>
    </row>
    <row r="59" spans="1:11" x14ac:dyDescent="0.25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25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25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25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J62">
        <v>34885000000</v>
      </c>
      <c r="K62">
        <v>0</v>
      </c>
    </row>
    <row r="63" spans="1:11" x14ac:dyDescent="0.25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J63">
        <v>22939000000</v>
      </c>
      <c r="K63">
        <v>0</v>
      </c>
    </row>
    <row r="64" spans="1:11" x14ac:dyDescent="0.25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25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J65">
        <v>34421000000</v>
      </c>
      <c r="K65">
        <v>64000000</v>
      </c>
    </row>
    <row r="66" spans="1:11" x14ac:dyDescent="0.25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J66">
        <v>21444000000</v>
      </c>
      <c r="K66">
        <v>54000000</v>
      </c>
    </row>
    <row r="67" spans="1:11" x14ac:dyDescent="0.25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25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J68">
        <v>33598000000</v>
      </c>
      <c r="K68">
        <v>59000000</v>
      </c>
    </row>
    <row r="69" spans="1:11" x14ac:dyDescent="0.25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J69">
        <v>19800000000</v>
      </c>
      <c r="K69">
        <v>237000000</v>
      </c>
    </row>
    <row r="70" spans="1:11" x14ac:dyDescent="0.25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25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J71">
        <v>31844000000</v>
      </c>
      <c r="K71">
        <v>88000000</v>
      </c>
    </row>
    <row r="72" spans="1:11" x14ac:dyDescent="0.25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J72">
        <v>19326000000</v>
      </c>
      <c r="K72">
        <v>272000000</v>
      </c>
    </row>
    <row r="73" spans="1:11" x14ac:dyDescent="0.25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J73">
        <v>28283000000</v>
      </c>
      <c r="K73">
        <v>125000000</v>
      </c>
    </row>
    <row r="74" spans="1:11" x14ac:dyDescent="0.25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25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25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25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J77">
        <v>31089000000</v>
      </c>
      <c r="K77">
        <v>35000000</v>
      </c>
    </row>
    <row r="78" spans="1:11" x14ac:dyDescent="0.25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J78">
        <v>18490000000</v>
      </c>
      <c r="K78">
        <v>72000000</v>
      </c>
    </row>
    <row r="79" spans="1:11" x14ac:dyDescent="0.25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25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J80">
        <v>30340000000</v>
      </c>
      <c r="K80">
        <v>173000000</v>
      </c>
    </row>
    <row r="81" spans="1:11" x14ac:dyDescent="0.25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J81">
        <v>16870000000</v>
      </c>
      <c r="K81">
        <v>595000000</v>
      </c>
    </row>
    <row r="82" spans="1:11" x14ac:dyDescent="0.25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25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J83">
        <v>29308000000</v>
      </c>
      <c r="K83">
        <v>0</v>
      </c>
    </row>
    <row r="84" spans="1:11" x14ac:dyDescent="0.25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J84">
        <v>16347000000</v>
      </c>
      <c r="K84">
        <v>417000000</v>
      </c>
    </row>
    <row r="85" spans="1:11" x14ac:dyDescent="0.25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25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J86">
        <v>28895000000</v>
      </c>
      <c r="K86">
        <v>53000000</v>
      </c>
    </row>
    <row r="87" spans="1:11" x14ac:dyDescent="0.25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J87">
        <v>15985000000</v>
      </c>
      <c r="K87">
        <v>299000000</v>
      </c>
    </row>
    <row r="88" spans="1:11" x14ac:dyDescent="0.25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J88">
        <v>25057000000</v>
      </c>
      <c r="K88">
        <v>160000000</v>
      </c>
    </row>
    <row r="89" spans="1:11" x14ac:dyDescent="0.25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25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25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25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J92">
        <v>27853000000</v>
      </c>
      <c r="K92">
        <f>ROUND($K$179*((D92-F92)/($D$179-$F$179)),0)</f>
        <v>610559</v>
      </c>
    </row>
    <row r="93" spans="1:11" x14ac:dyDescent="0.25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J93">
        <v>15576000000</v>
      </c>
      <c r="K93">
        <v>125000000</v>
      </c>
    </row>
    <row r="94" spans="1:11" x14ac:dyDescent="0.25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25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J95">
        <v>27209000000</v>
      </c>
      <c r="K95">
        <f>ROUND($K$179*((D95-F95)/($D$179-$F$179)),0)</f>
        <v>120716144</v>
      </c>
    </row>
    <row r="96" spans="1:11" x14ac:dyDescent="0.25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J96">
        <v>14084000000</v>
      </c>
      <c r="K96">
        <v>519000000</v>
      </c>
    </row>
    <row r="97" spans="1:11" x14ac:dyDescent="0.25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25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J98">
        <v>25848000000</v>
      </c>
      <c r="K98">
        <f>ROUND($K$179*((D98-F98)/($D$179-$F$179)),0)</f>
        <v>7762816</v>
      </c>
    </row>
    <row r="99" spans="1:11" x14ac:dyDescent="0.25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J99">
        <v>13881000000</v>
      </c>
      <c r="K99">
        <v>320000000</v>
      </c>
    </row>
    <row r="100" spans="1:11" x14ac:dyDescent="0.25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25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25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25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25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16196000000</v>
      </c>
      <c r="K104">
        <v>0</v>
      </c>
    </row>
    <row r="105" spans="1:11" x14ac:dyDescent="0.25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25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25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25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25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25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25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25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25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25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25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25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25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25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25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25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25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25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25">
      <c r="A123">
        <v>2024</v>
      </c>
      <c r="B123">
        <v>3</v>
      </c>
      <c r="C123" t="s">
        <v>13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J123">
        <v>5075000000</v>
      </c>
      <c r="K123">
        <v>18000000</v>
      </c>
    </row>
    <row r="124" spans="1:11" x14ac:dyDescent="0.25">
      <c r="A124">
        <v>2024</v>
      </c>
      <c r="B124">
        <v>2</v>
      </c>
      <c r="C124" t="s">
        <v>13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J124">
        <v>5065000000</v>
      </c>
      <c r="K124">
        <v>31000000</v>
      </c>
    </row>
    <row r="125" spans="1:11" x14ac:dyDescent="0.25">
      <c r="A125">
        <v>2024</v>
      </c>
      <c r="B125">
        <v>1</v>
      </c>
      <c r="C125" t="s">
        <v>13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J125">
        <v>7974000000</v>
      </c>
      <c r="K125">
        <v>0</v>
      </c>
    </row>
    <row r="126" spans="1:11" x14ac:dyDescent="0.25">
      <c r="A126">
        <v>2017</v>
      </c>
      <c r="B126">
        <v>1</v>
      </c>
      <c r="C126" t="s">
        <v>5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J126">
        <v>22829000000</v>
      </c>
      <c r="K126">
        <v>31000000</v>
      </c>
    </row>
    <row r="127" spans="1:11" x14ac:dyDescent="0.25">
      <c r="A127">
        <v>2017</v>
      </c>
      <c r="B127">
        <v>2</v>
      </c>
      <c r="C127" t="s">
        <v>5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J127">
        <v>22525000000</v>
      </c>
      <c r="K127">
        <v>94000000</v>
      </c>
    </row>
    <row r="128" spans="1:11" x14ac:dyDescent="0.25">
      <c r="A128">
        <v>2017</v>
      </c>
      <c r="B128">
        <v>3</v>
      </c>
      <c r="C128" t="s">
        <v>5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J128">
        <v>22217000000</v>
      </c>
      <c r="K128">
        <v>70000000</v>
      </c>
    </row>
    <row r="129" spans="1:11" x14ac:dyDescent="0.25">
      <c r="A129">
        <v>2017</v>
      </c>
      <c r="B129">
        <v>4</v>
      </c>
      <c r="C129" t="s">
        <v>5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J129">
        <v>22511000000</v>
      </c>
      <c r="K129">
        <v>47000000</v>
      </c>
    </row>
    <row r="130" spans="1:11" x14ac:dyDescent="0.25">
      <c r="A130">
        <v>2016</v>
      </c>
      <c r="B130">
        <v>1</v>
      </c>
      <c r="C130" t="s">
        <v>5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J130">
        <v>19134000000</v>
      </c>
      <c r="K130">
        <v>73000000</v>
      </c>
    </row>
    <row r="131" spans="1:11" x14ac:dyDescent="0.25">
      <c r="A131">
        <v>2016</v>
      </c>
      <c r="B131">
        <v>2</v>
      </c>
      <c r="C131" t="s">
        <v>5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J131">
        <v>21131000000</v>
      </c>
      <c r="K131">
        <v>98000000</v>
      </c>
    </row>
    <row r="132" spans="1:11" x14ac:dyDescent="0.25">
      <c r="A132">
        <v>2016</v>
      </c>
      <c r="B132">
        <v>3</v>
      </c>
      <c r="C132" t="s">
        <v>5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J132">
        <v>21545000000</v>
      </c>
      <c r="K132">
        <v>86000000</v>
      </c>
    </row>
    <row r="133" spans="1:11" x14ac:dyDescent="0.25">
      <c r="A133">
        <v>2016</v>
      </c>
      <c r="B133">
        <v>4</v>
      </c>
      <c r="C133" t="s">
        <v>5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J133">
        <v>22489000000</v>
      </c>
      <c r="K133">
        <v>57000000</v>
      </c>
    </row>
    <row r="134" spans="1:11" x14ac:dyDescent="0.25">
      <c r="A134">
        <v>2015</v>
      </c>
      <c r="B134">
        <v>1</v>
      </c>
      <c r="C134" t="s">
        <v>5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J134">
        <v>17638000000</v>
      </c>
      <c r="K134">
        <v>0</v>
      </c>
    </row>
    <row r="135" spans="1:11" x14ac:dyDescent="0.25">
      <c r="A135">
        <v>2015</v>
      </c>
      <c r="B135">
        <v>2</v>
      </c>
      <c r="C135" t="s">
        <v>5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J135">
        <v>17152000000</v>
      </c>
      <c r="K135">
        <v>0</v>
      </c>
    </row>
    <row r="136" spans="1:11" x14ac:dyDescent="0.25">
      <c r="A136">
        <v>2015</v>
      </c>
      <c r="B136">
        <v>3</v>
      </c>
      <c r="C136" t="s">
        <v>5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J136">
        <v>18849000000</v>
      </c>
      <c r="K136">
        <v>0</v>
      </c>
    </row>
    <row r="137" spans="1:11" x14ac:dyDescent="0.25">
      <c r="A137">
        <v>2015</v>
      </c>
      <c r="B137">
        <v>4</v>
      </c>
      <c r="C137" t="s">
        <v>5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J137">
        <v>18330000000</v>
      </c>
      <c r="K137">
        <v>0</v>
      </c>
    </row>
    <row r="138" spans="1:11" x14ac:dyDescent="0.25">
      <c r="A138">
        <v>2014</v>
      </c>
      <c r="B138">
        <v>1</v>
      </c>
      <c r="C138" t="s">
        <v>5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J138">
        <v>15244000000</v>
      </c>
      <c r="K138">
        <v>0</v>
      </c>
    </row>
    <row r="139" spans="1:11" x14ac:dyDescent="0.25">
      <c r="A139">
        <v>2014</v>
      </c>
      <c r="B139">
        <v>2</v>
      </c>
      <c r="C139" t="s">
        <v>5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J139">
        <v>15205000000</v>
      </c>
      <c r="K139">
        <v>0</v>
      </c>
    </row>
    <row r="140" spans="1:11" x14ac:dyDescent="0.25">
      <c r="A140">
        <v>2014</v>
      </c>
      <c r="B140">
        <v>3</v>
      </c>
      <c r="C140" t="s">
        <v>5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J140">
        <v>15651000000</v>
      </c>
      <c r="K140">
        <v>0</v>
      </c>
    </row>
    <row r="141" spans="1:11" x14ac:dyDescent="0.25">
      <c r="A141">
        <v>2014</v>
      </c>
      <c r="B141">
        <v>4</v>
      </c>
      <c r="C141" t="s">
        <v>5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J141">
        <v>16196000000</v>
      </c>
      <c r="K141">
        <v>0</v>
      </c>
    </row>
    <row r="142" spans="1:11" x14ac:dyDescent="0.25">
      <c r="A142">
        <v>2017</v>
      </c>
      <c r="B142">
        <v>1</v>
      </c>
      <c r="C142" t="s">
        <v>6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25">
      <c r="A143">
        <v>2017</v>
      </c>
      <c r="B143">
        <v>2</v>
      </c>
      <c r="C143" t="s">
        <v>6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25">
      <c r="A144">
        <v>2017</v>
      </c>
      <c r="B144">
        <v>3</v>
      </c>
      <c r="C144" t="s">
        <v>6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25">
      <c r="A145">
        <v>2017</v>
      </c>
      <c r="B145">
        <v>4</v>
      </c>
      <c r="C145" t="s">
        <v>6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J145">
        <v>6295000000</v>
      </c>
      <c r="K145">
        <v>262000000</v>
      </c>
    </row>
    <row r="146" spans="1:11" x14ac:dyDescent="0.25">
      <c r="A146">
        <v>2016</v>
      </c>
      <c r="B146">
        <v>1</v>
      </c>
      <c r="C146" t="s">
        <v>6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25">
      <c r="A147">
        <v>2016</v>
      </c>
      <c r="B147">
        <v>2</v>
      </c>
      <c r="C147" t="s">
        <v>6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25">
      <c r="A148">
        <v>2016</v>
      </c>
      <c r="B148">
        <v>3</v>
      </c>
      <c r="C148" t="s">
        <v>6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25">
      <c r="A149">
        <v>2016</v>
      </c>
      <c r="B149">
        <v>4</v>
      </c>
      <c r="C149" t="s">
        <v>6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J149">
        <v>5999000000</v>
      </c>
      <c r="K149">
        <v>193000000</v>
      </c>
    </row>
    <row r="150" spans="1:11" x14ac:dyDescent="0.25">
      <c r="A150">
        <v>2015</v>
      </c>
      <c r="B150">
        <v>1</v>
      </c>
      <c r="C150" t="s">
        <v>6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25">
      <c r="A151">
        <v>2015</v>
      </c>
      <c r="B151">
        <v>2</v>
      </c>
      <c r="C151" t="s">
        <v>6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25">
      <c r="A152">
        <v>2015</v>
      </c>
      <c r="B152">
        <v>3</v>
      </c>
      <c r="C152" t="s">
        <v>6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25">
      <c r="A153">
        <v>2015</v>
      </c>
      <c r="B153">
        <v>4</v>
      </c>
      <c r="C153" t="s">
        <v>6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J153">
        <v>6531000000</v>
      </c>
      <c r="K153">
        <v>380000000</v>
      </c>
    </row>
    <row r="154" spans="1:11" x14ac:dyDescent="0.25">
      <c r="A154">
        <v>2014</v>
      </c>
      <c r="B154">
        <v>1</v>
      </c>
      <c r="C154" t="s">
        <v>6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25">
      <c r="A155">
        <v>2014</v>
      </c>
      <c r="B155">
        <v>2</v>
      </c>
      <c r="C155" t="s">
        <v>6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25">
      <c r="A156">
        <v>2014</v>
      </c>
      <c r="B156">
        <v>3</v>
      </c>
      <c r="C156" t="s">
        <v>6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25">
      <c r="A157">
        <v>2014</v>
      </c>
      <c r="B157">
        <v>4</v>
      </c>
      <c r="C157" t="s">
        <v>6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J157">
        <v>8188000000</v>
      </c>
      <c r="K157">
        <v>262000000</v>
      </c>
    </row>
    <row r="158" spans="1:11" x14ac:dyDescent="0.25">
      <c r="A158">
        <v>2017</v>
      </c>
      <c r="B158">
        <v>1</v>
      </c>
      <c r="C158" t="s">
        <v>7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25">
      <c r="A159">
        <v>2017</v>
      </c>
      <c r="B159">
        <v>2</v>
      </c>
      <c r="C159" t="s">
        <v>7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25">
      <c r="A160">
        <v>2017</v>
      </c>
      <c r="B160">
        <v>3</v>
      </c>
      <c r="C160" t="s">
        <v>7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25">
      <c r="A161">
        <v>2017</v>
      </c>
      <c r="B161">
        <v>4</v>
      </c>
      <c r="C161" t="s">
        <v>7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J161">
        <v>11703000000</v>
      </c>
      <c r="K161">
        <v>73000000</v>
      </c>
    </row>
    <row r="162" spans="1:11" x14ac:dyDescent="0.25">
      <c r="A162">
        <v>2016</v>
      </c>
      <c r="B162">
        <v>1</v>
      </c>
      <c r="C162" t="s">
        <v>7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25">
      <c r="A163">
        <v>2016</v>
      </c>
      <c r="B163">
        <v>2</v>
      </c>
      <c r="C163" t="s">
        <v>7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25">
      <c r="A164">
        <v>2016</v>
      </c>
      <c r="B164">
        <v>3</v>
      </c>
      <c r="C164" t="s">
        <v>7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25">
      <c r="A165">
        <v>2016</v>
      </c>
      <c r="B165">
        <v>4</v>
      </c>
      <c r="C165" t="s">
        <v>7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J165">
        <v>9918000000</v>
      </c>
      <c r="K165">
        <v>145000000</v>
      </c>
    </row>
    <row r="166" spans="1:11" x14ac:dyDescent="0.25">
      <c r="A166">
        <v>2015</v>
      </c>
      <c r="B166">
        <v>1</v>
      </c>
      <c r="C166" t="s">
        <v>7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25">
      <c r="A167">
        <v>2015</v>
      </c>
      <c r="B167">
        <v>2</v>
      </c>
      <c r="C167" t="s">
        <v>7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25">
      <c r="A168">
        <v>2015</v>
      </c>
      <c r="B168">
        <v>3</v>
      </c>
      <c r="C168" t="s">
        <v>7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25">
      <c r="A169">
        <v>2015</v>
      </c>
      <c r="B169">
        <v>4</v>
      </c>
      <c r="C169" t="s">
        <v>7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J169">
        <v>9673000000</v>
      </c>
      <c r="K169">
        <v>146000000</v>
      </c>
    </row>
    <row r="170" spans="1:11" x14ac:dyDescent="0.25">
      <c r="A170">
        <v>2014</v>
      </c>
      <c r="B170">
        <v>1</v>
      </c>
      <c r="C170" t="s">
        <v>7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25">
      <c r="A171">
        <v>2014</v>
      </c>
      <c r="B171">
        <v>2</v>
      </c>
      <c r="C171" t="s">
        <v>7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25">
      <c r="A172">
        <v>2014</v>
      </c>
      <c r="B172">
        <v>3</v>
      </c>
      <c r="C172" t="s">
        <v>7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25">
      <c r="A173">
        <v>2014</v>
      </c>
      <c r="B173">
        <v>4</v>
      </c>
      <c r="C173" t="s">
        <v>7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J173">
        <v>9953000000</v>
      </c>
      <c r="K173">
        <v>54000000</v>
      </c>
    </row>
    <row r="174" spans="1:11" x14ac:dyDescent="0.25">
      <c r="A174">
        <v>2024</v>
      </c>
      <c r="B174">
        <v>4</v>
      </c>
      <c r="C174" t="s">
        <v>6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J174">
        <v>13546000000</v>
      </c>
      <c r="K174">
        <v>425000000</v>
      </c>
    </row>
    <row r="175" spans="1:11" x14ac:dyDescent="0.25">
      <c r="A175">
        <v>2024</v>
      </c>
      <c r="B175" t="s">
        <v>8</v>
      </c>
      <c r="C175" t="s">
        <v>6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25">
      <c r="A176">
        <v>2024</v>
      </c>
      <c r="B176">
        <v>4</v>
      </c>
      <c r="C176" t="s">
        <v>7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J176">
        <v>21680000000</v>
      </c>
      <c r="K176">
        <v>294000000</v>
      </c>
    </row>
    <row r="177" spans="1:11" x14ac:dyDescent="0.25">
      <c r="A177">
        <v>2024</v>
      </c>
      <c r="B177" t="s">
        <v>8</v>
      </c>
      <c r="C177" t="s">
        <v>7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25">
      <c r="A178">
        <v>2024</v>
      </c>
      <c r="B178">
        <v>4</v>
      </c>
      <c r="C178" t="s">
        <v>5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J178">
        <v>24617000000</v>
      </c>
      <c r="K178">
        <f>ROUND($K$179*((D178-F178)/($D$179-$F$179)),0)</f>
        <v>98910482</v>
      </c>
    </row>
    <row r="179" spans="1:11" x14ac:dyDescent="0.25">
      <c r="A179">
        <v>2024</v>
      </c>
      <c r="B179" t="s">
        <v>8</v>
      </c>
      <c r="C179" t="s">
        <v>5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25">
      <c r="A180">
        <v>2024</v>
      </c>
      <c r="B180">
        <v>4</v>
      </c>
      <c r="C180" t="s">
        <v>13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J180">
        <v>5069000000</v>
      </c>
      <c r="K180">
        <v>54000000</v>
      </c>
    </row>
    <row r="181" spans="1:11" x14ac:dyDescent="0.25">
      <c r="A181">
        <v>2024</v>
      </c>
      <c r="B181" t="s">
        <v>8</v>
      </c>
      <c r="C181" t="s">
        <v>13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25">
      <c r="A182">
        <v>2025</v>
      </c>
      <c r="B182">
        <v>1</v>
      </c>
      <c r="C182" t="s">
        <v>6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J182">
        <v>12432000000</v>
      </c>
      <c r="K182">
        <v>124000000</v>
      </c>
    </row>
    <row r="183" spans="1:11" x14ac:dyDescent="0.25">
      <c r="A183">
        <v>2025</v>
      </c>
      <c r="B183">
        <v>1</v>
      </c>
      <c r="C183" t="s">
        <v>7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25">
      <c r="A184">
        <v>2025</v>
      </c>
      <c r="B184">
        <v>1</v>
      </c>
      <c r="C184" t="s">
        <v>5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J184">
        <v>24705000000</v>
      </c>
      <c r="K184">
        <v>0</v>
      </c>
    </row>
    <row r="185" spans="1:11" x14ac:dyDescent="0.25">
      <c r="A185">
        <v>2025</v>
      </c>
      <c r="B185">
        <v>1</v>
      </c>
      <c r="C185" t="s">
        <v>13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J185">
        <v>4086000000</v>
      </c>
      <c r="K185">
        <v>0</v>
      </c>
    </row>
    <row r="186" spans="1:11" x14ac:dyDescent="0.25">
      <c r="A186">
        <v>2025</v>
      </c>
      <c r="B186">
        <v>2</v>
      </c>
      <c r="C186" t="s">
        <v>6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J186">
        <v>12400000000</v>
      </c>
      <c r="K186">
        <v>470000000</v>
      </c>
    </row>
    <row r="187" spans="1:11" x14ac:dyDescent="0.25">
      <c r="A187">
        <v>2025</v>
      </c>
      <c r="B187">
        <v>2</v>
      </c>
      <c r="C187" t="s">
        <v>7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25">
      <c r="A188">
        <v>2025</v>
      </c>
      <c r="B188">
        <v>2</v>
      </c>
      <c r="C188" t="s">
        <v>5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  <c r="J188">
        <v>24217000000</v>
      </c>
      <c r="K188">
        <v>41000000</v>
      </c>
    </row>
    <row r="189" spans="1:11" x14ac:dyDescent="0.25">
      <c r="A189">
        <v>2025</v>
      </c>
      <c r="B189">
        <v>2</v>
      </c>
      <c r="C189" t="s">
        <v>13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J189">
        <v>4081000000</v>
      </c>
      <c r="K189">
        <v>14000000</v>
      </c>
    </row>
    <row r="190" spans="1:11" x14ac:dyDescent="0.25">
      <c r="A190">
        <v>2025</v>
      </c>
      <c r="B190">
        <v>3</v>
      </c>
      <c r="C190" t="s">
        <v>6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J190">
        <v>12299000000</v>
      </c>
      <c r="K190">
        <v>392000000</v>
      </c>
    </row>
    <row r="191" spans="1:11" x14ac:dyDescent="0.25">
      <c r="A191">
        <v>2025</v>
      </c>
      <c r="B191">
        <v>3</v>
      </c>
      <c r="C191" t="s">
        <v>7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25">
      <c r="A192">
        <v>2025</v>
      </c>
      <c r="B192">
        <v>3</v>
      </c>
      <c r="C192" t="s">
        <v>5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J192">
        <v>24538000000</v>
      </c>
      <c r="K192">
        <v>0</v>
      </c>
    </row>
    <row r="193" spans="1:11" x14ac:dyDescent="0.25">
      <c r="A193">
        <v>2025</v>
      </c>
      <c r="B193">
        <v>3</v>
      </c>
      <c r="C193" t="s">
        <v>13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J193">
        <v>4079000000</v>
      </c>
      <c r="K193">
        <v>11000000</v>
      </c>
    </row>
    <row r="194" spans="1:11" x14ac:dyDescent="0.25">
      <c r="A194">
        <v>2025</v>
      </c>
      <c r="B194">
        <v>4</v>
      </c>
      <c r="C194" t="s">
        <v>6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J194">
        <v>11936000000</v>
      </c>
      <c r="K194">
        <v>351000000</v>
      </c>
    </row>
    <row r="195" spans="1:11" x14ac:dyDescent="0.25">
      <c r="A195">
        <v>2025</v>
      </c>
      <c r="B195" t="s">
        <v>8</v>
      </c>
      <c r="C195" t="s">
        <v>6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J195">
        <v>11936000000</v>
      </c>
      <c r="K195">
        <v>1337000000</v>
      </c>
    </row>
    <row r="196" spans="1:11" x14ac:dyDescent="0.25">
      <c r="A196">
        <v>2025</v>
      </c>
      <c r="B196">
        <v>4</v>
      </c>
      <c r="C196" t="s">
        <v>7</v>
      </c>
      <c r="D196">
        <v>15397000000</v>
      </c>
      <c r="E196">
        <v>13926000000</v>
      </c>
      <c r="F196">
        <v>14011000000</v>
      </c>
      <c r="G196">
        <v>1044000000</v>
      </c>
      <c r="H196">
        <v>68246000000</v>
      </c>
      <c r="I196">
        <v>83365000000</v>
      </c>
      <c r="J196">
        <v>17170000000</v>
      </c>
      <c r="K196">
        <v>244000000</v>
      </c>
    </row>
    <row r="197" spans="1:11" x14ac:dyDescent="0.25">
      <c r="A197">
        <v>2025</v>
      </c>
      <c r="B197" t="s">
        <v>8</v>
      </c>
      <c r="C197" t="s">
        <v>7</v>
      </c>
      <c r="D197">
        <v>59070000000</v>
      </c>
      <c r="E197">
        <v>53438000000</v>
      </c>
      <c r="F197">
        <v>54356000000</v>
      </c>
      <c r="G197">
        <v>3353000000</v>
      </c>
      <c r="H197">
        <v>271619000000</v>
      </c>
      <c r="I197">
        <v>330284000000</v>
      </c>
      <c r="J197">
        <v>17170000000</v>
      </c>
      <c r="K197">
        <v>704000000</v>
      </c>
    </row>
    <row r="198" spans="1:11" x14ac:dyDescent="0.25">
      <c r="A198">
        <v>2025</v>
      </c>
      <c r="B198">
        <v>4</v>
      </c>
      <c r="C198" t="s">
        <v>13</v>
      </c>
      <c r="D198">
        <v>7442000000</v>
      </c>
      <c r="E198">
        <v>6785000000</v>
      </c>
      <c r="F198">
        <v>7051000000</v>
      </c>
      <c r="G198">
        <v>323000000</v>
      </c>
      <c r="H198">
        <v>35567000000</v>
      </c>
      <c r="I198">
        <v>46052000000</v>
      </c>
      <c r="J198">
        <v>4577000000</v>
      </c>
      <c r="K198">
        <v>71000000</v>
      </c>
    </row>
    <row r="199" spans="1:11" x14ac:dyDescent="0.25">
      <c r="A199">
        <v>2025</v>
      </c>
      <c r="B199" t="s">
        <v>8</v>
      </c>
      <c r="C199" t="s">
        <v>13</v>
      </c>
      <c r="D199">
        <v>28063000000</v>
      </c>
      <c r="E199">
        <v>25535000000</v>
      </c>
      <c r="F199">
        <v>27635000000</v>
      </c>
      <c r="G199">
        <v>441000000</v>
      </c>
      <c r="H199">
        <v>139443000000</v>
      </c>
      <c r="I199">
        <v>180046000000</v>
      </c>
      <c r="J199">
        <v>4577000000</v>
      </c>
      <c r="K199">
        <v>97000000</v>
      </c>
    </row>
    <row r="200" spans="1:11" x14ac:dyDescent="0.25">
      <c r="A200">
        <v>2025</v>
      </c>
      <c r="B200">
        <v>4</v>
      </c>
      <c r="C200" t="s">
        <v>5</v>
      </c>
      <c r="D200">
        <v>13999000000</v>
      </c>
      <c r="E200">
        <v>12657000000</v>
      </c>
      <c r="F200">
        <v>13548000000</v>
      </c>
      <c r="G200">
        <v>99000000</v>
      </c>
      <c r="H200">
        <v>61596000000</v>
      </c>
      <c r="I200">
        <v>74472000000</v>
      </c>
      <c r="J200">
        <v>24639000000</v>
      </c>
      <c r="K200">
        <f>ROUND($K$201*(((D200-F200)/($D$201-$F$201))/(((D200-F200)/($D$201-$F$201))+((D188-F188)/($D$201-$F$201)))),0)</f>
        <v>15639975</v>
      </c>
    </row>
    <row r="201" spans="1:11" x14ac:dyDescent="0.25">
      <c r="A201">
        <v>2025</v>
      </c>
      <c r="B201" t="s">
        <v>8</v>
      </c>
      <c r="C201" t="s">
        <v>5</v>
      </c>
      <c r="D201">
        <v>54633000000</v>
      </c>
      <c r="E201">
        <v>49643000000</v>
      </c>
      <c r="F201">
        <v>53166000000</v>
      </c>
      <c r="G201">
        <v>111000000</v>
      </c>
      <c r="H201">
        <v>250294000000</v>
      </c>
      <c r="I201">
        <v>299411000000</v>
      </c>
      <c r="J201">
        <v>24639000000</v>
      </c>
      <c r="K201">
        <v>55000000</v>
      </c>
    </row>
    <row r="202" spans="1:11" x14ac:dyDescent="0.25">
      <c r="A202">
        <v>2026</v>
      </c>
      <c r="B202">
        <v>1</v>
      </c>
      <c r="C202" t="s">
        <v>6</v>
      </c>
      <c r="D202">
        <v>15854000000</v>
      </c>
      <c r="E202">
        <v>12302000000</v>
      </c>
      <c r="F202">
        <v>15353000000</v>
      </c>
      <c r="G202">
        <v>-289000000</v>
      </c>
      <c r="H202">
        <v>56470000000</v>
      </c>
      <c r="I202">
        <v>69163000000</v>
      </c>
      <c r="J202">
        <v>10608000000</v>
      </c>
      <c r="K202">
        <v>165000000</v>
      </c>
    </row>
    <row r="203" spans="1:11" x14ac:dyDescent="0.25">
      <c r="A203">
        <v>2026</v>
      </c>
      <c r="B203">
        <v>1</v>
      </c>
      <c r="C203" t="s">
        <v>7</v>
      </c>
      <c r="D203">
        <v>14608000000</v>
      </c>
      <c r="E203">
        <v>13166000000</v>
      </c>
      <c r="F203">
        <v>13611000000</v>
      </c>
      <c r="G203">
        <v>699000000</v>
      </c>
      <c r="H203">
        <v>63385000000</v>
      </c>
      <c r="I203">
        <v>77698000000</v>
      </c>
      <c r="K203">
        <v>59000000</v>
      </c>
    </row>
    <row r="204" spans="1:11" x14ac:dyDescent="0.25">
      <c r="A204">
        <v>2026</v>
      </c>
      <c r="B204">
        <v>1</v>
      </c>
      <c r="C204" t="s">
        <v>5</v>
      </c>
      <c r="D204">
        <v>13912000000</v>
      </c>
      <c r="E204">
        <v>12495000000</v>
      </c>
      <c r="F204">
        <v>13953000000</v>
      </c>
      <c r="G204">
        <v>-382000000</v>
      </c>
      <c r="H204">
        <v>58551000000</v>
      </c>
      <c r="I204">
        <v>72009000000</v>
      </c>
      <c r="J204">
        <v>22934000000</v>
      </c>
      <c r="K204">
        <v>0</v>
      </c>
    </row>
    <row r="205" spans="1:11" x14ac:dyDescent="0.25">
      <c r="A205">
        <v>2026</v>
      </c>
      <c r="B205">
        <v>1</v>
      </c>
      <c r="C205" t="s">
        <v>13</v>
      </c>
      <c r="D205">
        <v>7249000000</v>
      </c>
      <c r="E205">
        <v>6591000000</v>
      </c>
      <c r="F205">
        <v>6919000000</v>
      </c>
      <c r="G205">
        <v>330000000</v>
      </c>
      <c r="H205">
        <v>31151000000</v>
      </c>
      <c r="I205">
        <v>42049000000</v>
      </c>
      <c r="J205">
        <v>4536000000</v>
      </c>
      <c r="K205">
        <v>50000000</v>
      </c>
    </row>
    <row r="206" spans="1:11" x14ac:dyDescent="0.25">
      <c r="A206">
        <v>2026</v>
      </c>
      <c r="B206">
        <v>2</v>
      </c>
      <c r="C206" t="s">
        <v>6</v>
      </c>
      <c r="D206">
        <v>19757000000</v>
      </c>
      <c r="E206">
        <v>15607000000</v>
      </c>
      <c r="F206">
        <v>17893000000</v>
      </c>
      <c r="G206">
        <v>1604000000</v>
      </c>
      <c r="H206">
        <v>66767000000</v>
      </c>
      <c r="I206">
        <v>78694000000</v>
      </c>
      <c r="J206">
        <v>10101000000</v>
      </c>
      <c r="K206">
        <v>328000000</v>
      </c>
    </row>
    <row r="207" spans="1:11" x14ac:dyDescent="0.25">
      <c r="A207">
        <v>2026</v>
      </c>
      <c r="B207">
        <v>2</v>
      </c>
      <c r="C207" t="s">
        <v>7</v>
      </c>
      <c r="D207">
        <v>17672000000</v>
      </c>
      <c r="E207">
        <v>16100000000</v>
      </c>
      <c r="F207">
        <v>16576000000</v>
      </c>
      <c r="G207">
        <v>805000000</v>
      </c>
      <c r="H207">
        <v>72765000000</v>
      </c>
      <c r="I207">
        <v>87279000000</v>
      </c>
      <c r="K207">
        <v>90000000</v>
      </c>
    </row>
    <row r="208" spans="1:11" x14ac:dyDescent="0.25">
      <c r="A208">
        <v>2026</v>
      </c>
      <c r="B208">
        <v>2</v>
      </c>
      <c r="C208" t="s">
        <v>5</v>
      </c>
      <c r="D208">
        <v>16735000000</v>
      </c>
      <c r="E208">
        <v>15214000000</v>
      </c>
      <c r="F208">
        <v>16289000000</v>
      </c>
      <c r="G208">
        <v>71000000</v>
      </c>
      <c r="H208">
        <v>68118000000</v>
      </c>
      <c r="I208">
        <v>81843000000</v>
      </c>
      <c r="K208">
        <v>0</v>
      </c>
    </row>
    <row r="209" spans="1:11" x14ac:dyDescent="0.25">
      <c r="A209">
        <v>2026</v>
      </c>
      <c r="B209">
        <v>2</v>
      </c>
      <c r="C209" t="s">
        <v>13</v>
      </c>
      <c r="D209">
        <v>8432000000</v>
      </c>
      <c r="E209">
        <v>7745000000</v>
      </c>
      <c r="F209">
        <v>8147000000</v>
      </c>
      <c r="G209">
        <v>285000000</v>
      </c>
      <c r="H209">
        <v>37346000000</v>
      </c>
      <c r="I209">
        <v>47093000000</v>
      </c>
      <c r="K209">
        <v>53000000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5" x14ac:dyDescent="0.25"/>
  <cols>
    <col min="4" max="4" width="19.28515625" bestFit="1" customWidth="1"/>
    <col min="5" max="5" width="1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25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25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25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25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25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25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25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25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25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25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25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25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25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25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25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25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25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25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25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25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25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25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25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25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5" x14ac:dyDescent="0.25"/>
  <cols>
    <col min="1" max="1" width="4.85546875" bestFit="1" customWidth="1"/>
    <col min="2" max="2" width="7.7109375" bestFit="1" customWidth="1"/>
    <col min="3" max="3" width="6.7109375" bestFit="1" customWidth="1"/>
    <col min="4" max="4" width="19.28515625" bestFit="1" customWidth="1"/>
    <col min="5" max="5" width="15.85546875" style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25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25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25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25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25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25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2026-07-23T11:23:26Z</dcterms:modified>
</cp:coreProperties>
</file>