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School/UNCC/Personal Projects/US Airlines Financials Project/airline_financials/"/>
    </mc:Choice>
  </mc:AlternateContent>
  <xr:revisionPtr revIDLastSave="396" documentId="8_{5FE741C9-A2F0-4D0A-8E2F-B83D587BBB42}" xr6:coauthVersionLast="47" xr6:coauthVersionMax="47" xr10:uidLastSave="{180469F5-A0EE-40E9-991D-66A7579DB96B}"/>
  <bookViews>
    <workbookView xWindow="-120" yWindow="-120" windowWidth="38640" windowHeight="211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" i="2" l="1"/>
  <c r="K95" i="2"/>
  <c r="K92" i="2"/>
  <c r="K178" i="2"/>
</calcChain>
</file>

<file path=xl/sharedStrings.xml><?xml version="1.0" encoding="utf-8"?>
<sst xmlns="http://schemas.openxmlformats.org/spreadsheetml/2006/main" count="329" uniqueCount="20">
  <si>
    <t>Year</t>
  </si>
  <si>
    <t>Quarter</t>
  </si>
  <si>
    <t>Airline</t>
  </si>
  <si>
    <t>Total Revenue</t>
  </si>
  <si>
    <t>Net Income</t>
  </si>
  <si>
    <t>Profit Sharing</t>
  </si>
  <si>
    <t>AAL</t>
  </si>
  <si>
    <t>DAL</t>
  </si>
  <si>
    <t>UAL</t>
  </si>
  <si>
    <t>FY</t>
  </si>
  <si>
    <t>Passenger Revenue</t>
  </si>
  <si>
    <t>Total Expenses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</si>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</sst>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1"/>
  <sheetViews>
    <sheetView tabSelected="1" topLeftCell="A156" zoomScaleNormal="100" workbookViewId="0">
      <selection activeCell="G194" sqref="G194"/>
    </sheetView>
  </sheetViews>
  <sheetFormatPr defaultRowHeight="14.4" x14ac:dyDescent="0.3"/>
  <cols>
    <col min="1" max="1" width="5.5546875" bestFit="1" customWidth="1"/>
    <col min="2" max="2" width="7.33203125" bestFit="1" customWidth="1"/>
    <col min="3" max="3" width="6.109375" bestFit="1" customWidth="1"/>
    <col min="4" max="4" width="12.109375" bestFit="1" customWidth="1"/>
    <col min="5" max="5" width="16.6640625" bestFit="1" customWidth="1"/>
    <col min="6" max="7" width="12.6640625" bestFit="1" customWidth="1"/>
    <col min="8" max="9" width="17.109375" customWidth="1"/>
    <col min="10" max="10" width="13.6640625" bestFit="1" customWidth="1"/>
    <col min="11" max="11" width="11.6640625" bestFit="1" customWidth="1"/>
    <col min="12" max="12" width="10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  <c r="G1" t="s">
        <v>4</v>
      </c>
      <c r="H1" t="s">
        <v>12</v>
      </c>
      <c r="I1" t="s">
        <v>13</v>
      </c>
      <c r="J1" t="s">
        <v>14</v>
      </c>
      <c r="K1" t="s">
        <v>5</v>
      </c>
    </row>
    <row r="2" spans="1:11" x14ac:dyDescent="0.3">
      <c r="A2">
        <v>2018</v>
      </c>
      <c r="B2">
        <v>1</v>
      </c>
      <c r="C2" t="s">
        <v>6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K2">
        <v>29000000</v>
      </c>
    </row>
    <row r="3" spans="1:11" x14ac:dyDescent="0.3">
      <c r="A3">
        <v>2018</v>
      </c>
      <c r="B3">
        <v>1</v>
      </c>
      <c r="C3" t="s">
        <v>7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3">
      <c r="A4">
        <v>2018</v>
      </c>
      <c r="B4">
        <v>1</v>
      </c>
      <c r="C4" t="s">
        <v>8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3">
      <c r="A5">
        <v>2018</v>
      </c>
      <c r="B5">
        <v>2</v>
      </c>
      <c r="C5" t="s">
        <v>6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K5">
        <v>63000000</v>
      </c>
    </row>
    <row r="6" spans="1:11" x14ac:dyDescent="0.3">
      <c r="A6">
        <v>2018</v>
      </c>
      <c r="B6">
        <v>2</v>
      </c>
      <c r="C6" t="s">
        <v>7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K6">
        <v>404000000</v>
      </c>
    </row>
    <row r="7" spans="1:11" x14ac:dyDescent="0.3">
      <c r="A7">
        <v>2018</v>
      </c>
      <c r="B7">
        <v>2</v>
      </c>
      <c r="C7" t="s">
        <v>8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3">
      <c r="A8">
        <v>2018</v>
      </c>
      <c r="B8">
        <v>3</v>
      </c>
      <c r="C8" t="s">
        <v>6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K8">
        <v>43000000</v>
      </c>
    </row>
    <row r="9" spans="1:11" x14ac:dyDescent="0.3">
      <c r="A9">
        <v>2018</v>
      </c>
      <c r="B9">
        <v>3</v>
      </c>
      <c r="C9" t="s">
        <v>7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K9">
        <v>399000000</v>
      </c>
    </row>
    <row r="10" spans="1:11" x14ac:dyDescent="0.3">
      <c r="A10">
        <v>2018</v>
      </c>
      <c r="B10">
        <v>3</v>
      </c>
      <c r="C10" t="s">
        <v>8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3">
      <c r="A11">
        <v>2018</v>
      </c>
      <c r="B11">
        <v>4</v>
      </c>
      <c r="C11" t="s">
        <v>6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K11">
        <v>40000000</v>
      </c>
    </row>
    <row r="12" spans="1:11" x14ac:dyDescent="0.3">
      <c r="A12">
        <v>2018</v>
      </c>
      <c r="B12">
        <v>4</v>
      </c>
      <c r="C12" t="s">
        <v>7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K12">
        <v>311000000</v>
      </c>
    </row>
    <row r="13" spans="1:11" x14ac:dyDescent="0.3">
      <c r="A13">
        <v>2018</v>
      </c>
      <c r="B13">
        <v>4</v>
      </c>
      <c r="C13" t="s">
        <v>8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K13">
        <v>82000000</v>
      </c>
    </row>
    <row r="14" spans="1:11" x14ac:dyDescent="0.3">
      <c r="A14">
        <v>2018</v>
      </c>
      <c r="B14" t="s">
        <v>9</v>
      </c>
      <c r="C14" t="s">
        <v>6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3">
      <c r="A15">
        <v>2018</v>
      </c>
      <c r="B15" t="s">
        <v>9</v>
      </c>
      <c r="C15" t="s">
        <v>7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3">
      <c r="A16">
        <v>2018</v>
      </c>
      <c r="B16" t="s">
        <v>9</v>
      </c>
      <c r="C16" t="s">
        <v>8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3">
      <c r="A17">
        <v>2019</v>
      </c>
      <c r="B17">
        <v>1</v>
      </c>
      <c r="C17" t="s">
        <v>6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K17">
        <v>20000000</v>
      </c>
    </row>
    <row r="18" spans="1:11" x14ac:dyDescent="0.3">
      <c r="A18">
        <v>2019</v>
      </c>
      <c r="B18">
        <v>1</v>
      </c>
      <c r="C18" t="s">
        <v>7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K18">
        <v>220000000</v>
      </c>
    </row>
    <row r="19" spans="1:11" x14ac:dyDescent="0.3">
      <c r="A19">
        <v>2019</v>
      </c>
      <c r="B19">
        <v>1</v>
      </c>
      <c r="C19" t="s">
        <v>8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3">
      <c r="A20">
        <v>2019</v>
      </c>
      <c r="B20">
        <v>2</v>
      </c>
      <c r="C20" t="s">
        <v>6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K20">
        <v>67000000</v>
      </c>
    </row>
    <row r="21" spans="1:11" x14ac:dyDescent="0.3">
      <c r="A21">
        <v>2019</v>
      </c>
      <c r="B21">
        <v>2</v>
      </c>
      <c r="C21" t="s">
        <v>7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K21">
        <v>518000000</v>
      </c>
    </row>
    <row r="22" spans="1:11" x14ac:dyDescent="0.3">
      <c r="A22">
        <v>2019</v>
      </c>
      <c r="B22">
        <v>2</v>
      </c>
      <c r="C22" t="s">
        <v>8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3">
      <c r="A23">
        <v>2019</v>
      </c>
      <c r="B23">
        <v>3</v>
      </c>
      <c r="C23" t="s">
        <v>6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K23">
        <v>52000000</v>
      </c>
    </row>
    <row r="24" spans="1:11" x14ac:dyDescent="0.3">
      <c r="A24">
        <v>2019</v>
      </c>
      <c r="B24">
        <v>3</v>
      </c>
      <c r="C24" t="s">
        <v>7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K24">
        <v>517000000</v>
      </c>
    </row>
    <row r="25" spans="1:11" x14ac:dyDescent="0.3">
      <c r="A25">
        <v>2019</v>
      </c>
      <c r="B25">
        <v>3</v>
      </c>
      <c r="C25" t="s">
        <v>8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3">
      <c r="A26">
        <v>2019</v>
      </c>
      <c r="B26">
        <v>4</v>
      </c>
      <c r="C26" t="s">
        <v>6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K26">
        <v>74000000</v>
      </c>
    </row>
    <row r="27" spans="1:11" x14ac:dyDescent="0.3">
      <c r="A27">
        <v>2019</v>
      </c>
      <c r="B27">
        <v>4</v>
      </c>
      <c r="C27" t="s">
        <v>7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K27">
        <v>387000000</v>
      </c>
    </row>
    <row r="28" spans="1:11" x14ac:dyDescent="0.3">
      <c r="A28">
        <v>2019</v>
      </c>
      <c r="B28">
        <v>4</v>
      </c>
      <c r="C28" t="s">
        <v>8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K28">
        <v>123000000</v>
      </c>
    </row>
    <row r="29" spans="1:11" x14ac:dyDescent="0.3">
      <c r="A29">
        <v>2019</v>
      </c>
      <c r="B29" t="s">
        <v>9</v>
      </c>
      <c r="C29" t="s">
        <v>6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3">
      <c r="A30">
        <v>2019</v>
      </c>
      <c r="B30" t="s">
        <v>9</v>
      </c>
      <c r="C30" t="s">
        <v>7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3">
      <c r="A31">
        <v>2019</v>
      </c>
      <c r="B31" t="s">
        <v>9</v>
      </c>
      <c r="C31" t="s">
        <v>8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3">
      <c r="A32">
        <v>2020</v>
      </c>
      <c r="B32">
        <v>1</v>
      </c>
      <c r="C32" t="s">
        <v>6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K32">
        <v>0</v>
      </c>
    </row>
    <row r="33" spans="1:11" x14ac:dyDescent="0.3">
      <c r="A33">
        <v>2020</v>
      </c>
      <c r="B33">
        <v>1</v>
      </c>
      <c r="C33" t="s">
        <v>7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K33">
        <v>0</v>
      </c>
    </row>
    <row r="34" spans="1:11" x14ac:dyDescent="0.3">
      <c r="A34">
        <v>2020</v>
      </c>
      <c r="B34">
        <v>1</v>
      </c>
      <c r="C34" t="s">
        <v>8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3">
      <c r="A35">
        <v>2020</v>
      </c>
      <c r="B35">
        <v>2</v>
      </c>
      <c r="C35" t="s">
        <v>6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K35">
        <v>0</v>
      </c>
    </row>
    <row r="36" spans="1:11" x14ac:dyDescent="0.3">
      <c r="A36">
        <v>2020</v>
      </c>
      <c r="B36">
        <v>2</v>
      </c>
      <c r="C36" t="s">
        <v>7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K36">
        <v>0</v>
      </c>
    </row>
    <row r="37" spans="1:11" x14ac:dyDescent="0.3">
      <c r="A37">
        <v>2020</v>
      </c>
      <c r="B37">
        <v>2</v>
      </c>
      <c r="C37" t="s">
        <v>8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3">
      <c r="A38">
        <v>2020</v>
      </c>
      <c r="B38">
        <v>3</v>
      </c>
      <c r="C38" t="s">
        <v>6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K38">
        <v>0</v>
      </c>
    </row>
    <row r="39" spans="1:11" x14ac:dyDescent="0.3">
      <c r="A39">
        <v>2020</v>
      </c>
      <c r="B39">
        <v>3</v>
      </c>
      <c r="C39" t="s">
        <v>7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K39">
        <v>0</v>
      </c>
    </row>
    <row r="40" spans="1:11" x14ac:dyDescent="0.3">
      <c r="A40">
        <v>2020</v>
      </c>
      <c r="B40">
        <v>3</v>
      </c>
      <c r="C40" t="s">
        <v>8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3">
      <c r="A41">
        <v>2020</v>
      </c>
      <c r="B41">
        <v>4</v>
      </c>
      <c r="C41" t="s">
        <v>6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K41">
        <v>0</v>
      </c>
    </row>
    <row r="42" spans="1:11" x14ac:dyDescent="0.3">
      <c r="A42">
        <v>2020</v>
      </c>
      <c r="B42">
        <v>4</v>
      </c>
      <c r="C42" t="s">
        <v>7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K42">
        <v>0</v>
      </c>
    </row>
    <row r="43" spans="1:11" x14ac:dyDescent="0.3">
      <c r="A43">
        <v>2020</v>
      </c>
      <c r="B43">
        <v>4</v>
      </c>
      <c r="C43" t="s">
        <v>8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K43">
        <v>0</v>
      </c>
    </row>
    <row r="44" spans="1:11" x14ac:dyDescent="0.3">
      <c r="A44">
        <v>2020</v>
      </c>
      <c r="B44" t="s">
        <v>9</v>
      </c>
      <c r="C44" t="s">
        <v>6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3">
      <c r="A45">
        <v>2020</v>
      </c>
      <c r="B45" t="s">
        <v>9</v>
      </c>
      <c r="C45" t="s">
        <v>7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3">
      <c r="A46">
        <v>2020</v>
      </c>
      <c r="B46" t="s">
        <v>9</v>
      </c>
      <c r="C46" t="s">
        <v>8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3">
      <c r="A47">
        <v>2021</v>
      </c>
      <c r="B47">
        <v>1</v>
      </c>
      <c r="C47" t="s">
        <v>6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K47">
        <v>0</v>
      </c>
    </row>
    <row r="48" spans="1:11" x14ac:dyDescent="0.3">
      <c r="A48">
        <v>2021</v>
      </c>
      <c r="B48">
        <v>1</v>
      </c>
      <c r="C48" t="s">
        <v>7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K48">
        <v>0</v>
      </c>
    </row>
    <row r="49" spans="1:11" x14ac:dyDescent="0.3">
      <c r="A49">
        <v>2021</v>
      </c>
      <c r="B49">
        <v>1</v>
      </c>
      <c r="C49" t="s">
        <v>8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3">
      <c r="A50">
        <v>2021</v>
      </c>
      <c r="B50">
        <v>2</v>
      </c>
      <c r="C50" t="s">
        <v>6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K50">
        <v>0</v>
      </c>
    </row>
    <row r="51" spans="1:11" x14ac:dyDescent="0.3">
      <c r="A51">
        <v>2021</v>
      </c>
      <c r="B51">
        <v>2</v>
      </c>
      <c r="C51" t="s">
        <v>7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K51">
        <v>0</v>
      </c>
    </row>
    <row r="52" spans="1:11" x14ac:dyDescent="0.3">
      <c r="A52">
        <v>2021</v>
      </c>
      <c r="B52">
        <v>2</v>
      </c>
      <c r="C52" t="s">
        <v>8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3">
      <c r="A53">
        <v>2021</v>
      </c>
      <c r="B53">
        <v>3</v>
      </c>
      <c r="C53" t="s">
        <v>6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K53">
        <v>0</v>
      </c>
    </row>
    <row r="54" spans="1:11" x14ac:dyDescent="0.3">
      <c r="A54">
        <v>2021</v>
      </c>
      <c r="B54">
        <v>3</v>
      </c>
      <c r="C54" t="s">
        <v>7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K54">
        <v>0</v>
      </c>
    </row>
    <row r="55" spans="1:11" x14ac:dyDescent="0.3">
      <c r="A55">
        <v>2021</v>
      </c>
      <c r="B55">
        <v>3</v>
      </c>
      <c r="C55" t="s">
        <v>8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3">
      <c r="A56">
        <v>2021</v>
      </c>
      <c r="B56">
        <v>4</v>
      </c>
      <c r="C56" t="s">
        <v>6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K56">
        <v>0</v>
      </c>
    </row>
    <row r="57" spans="1:11" x14ac:dyDescent="0.3">
      <c r="A57">
        <v>2021</v>
      </c>
      <c r="B57">
        <v>4</v>
      </c>
      <c r="C57" t="s">
        <v>7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K57">
        <v>0</v>
      </c>
    </row>
    <row r="58" spans="1:11" x14ac:dyDescent="0.3">
      <c r="A58">
        <v>2021</v>
      </c>
      <c r="B58">
        <v>4</v>
      </c>
      <c r="C58" t="s">
        <v>8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K58">
        <v>0</v>
      </c>
    </row>
    <row r="59" spans="1:11" x14ac:dyDescent="0.3">
      <c r="A59">
        <v>2021</v>
      </c>
      <c r="B59" t="s">
        <v>9</v>
      </c>
      <c r="C59" t="s">
        <v>6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3">
      <c r="A60">
        <v>2021</v>
      </c>
      <c r="B60" t="s">
        <v>9</v>
      </c>
      <c r="C60" t="s">
        <v>7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3">
      <c r="A61">
        <v>2021</v>
      </c>
      <c r="B61" t="s">
        <v>9</v>
      </c>
      <c r="C61" t="s">
        <v>8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3">
      <c r="A62">
        <v>2022</v>
      </c>
      <c r="B62">
        <v>1</v>
      </c>
      <c r="C62" t="s">
        <v>6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K62">
        <v>0</v>
      </c>
    </row>
    <row r="63" spans="1:11" x14ac:dyDescent="0.3">
      <c r="A63">
        <v>2022</v>
      </c>
      <c r="B63">
        <v>1</v>
      </c>
      <c r="C63" t="s">
        <v>7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K63">
        <v>0</v>
      </c>
    </row>
    <row r="64" spans="1:11" x14ac:dyDescent="0.3">
      <c r="A64">
        <v>2022</v>
      </c>
      <c r="B64">
        <v>1</v>
      </c>
      <c r="C64" t="s">
        <v>8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3">
      <c r="A65">
        <v>2022</v>
      </c>
      <c r="B65">
        <v>2</v>
      </c>
      <c r="C65" t="s">
        <v>6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K65">
        <v>64000000</v>
      </c>
    </row>
    <row r="66" spans="1:11" x14ac:dyDescent="0.3">
      <c r="A66">
        <v>2022</v>
      </c>
      <c r="B66">
        <v>2</v>
      </c>
      <c r="C66" t="s">
        <v>7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K66">
        <v>54000000</v>
      </c>
    </row>
    <row r="67" spans="1:11" x14ac:dyDescent="0.3">
      <c r="A67">
        <v>2022</v>
      </c>
      <c r="B67">
        <v>2</v>
      </c>
      <c r="C67" t="s">
        <v>8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3">
      <c r="A68">
        <v>2022</v>
      </c>
      <c r="B68">
        <v>3</v>
      </c>
      <c r="C68" t="s">
        <v>6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K68">
        <v>59000000</v>
      </c>
    </row>
    <row r="69" spans="1:11" x14ac:dyDescent="0.3">
      <c r="A69">
        <v>2022</v>
      </c>
      <c r="B69">
        <v>3</v>
      </c>
      <c r="C69" t="s">
        <v>7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K69">
        <v>237000000</v>
      </c>
    </row>
    <row r="70" spans="1:11" x14ac:dyDescent="0.3">
      <c r="A70">
        <v>2022</v>
      </c>
      <c r="B70">
        <v>3</v>
      </c>
      <c r="C70" t="s">
        <v>8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3">
      <c r="A71">
        <v>2022</v>
      </c>
      <c r="B71">
        <v>4</v>
      </c>
      <c r="C71" t="s">
        <v>6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K71">
        <v>88000000</v>
      </c>
    </row>
    <row r="72" spans="1:11" x14ac:dyDescent="0.3">
      <c r="A72">
        <v>2022</v>
      </c>
      <c r="B72">
        <v>4</v>
      </c>
      <c r="C72" t="s">
        <v>7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K72">
        <v>272000000</v>
      </c>
    </row>
    <row r="73" spans="1:11" x14ac:dyDescent="0.3">
      <c r="A73">
        <v>2022</v>
      </c>
      <c r="B73">
        <v>4</v>
      </c>
      <c r="C73" t="s">
        <v>8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K73">
        <v>125000000</v>
      </c>
    </row>
    <row r="74" spans="1:11" x14ac:dyDescent="0.3">
      <c r="A74">
        <v>2022</v>
      </c>
      <c r="B74" t="s">
        <v>9</v>
      </c>
      <c r="C74" t="s">
        <v>6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3">
      <c r="A75">
        <v>2022</v>
      </c>
      <c r="B75" t="s">
        <v>9</v>
      </c>
      <c r="C75" t="s">
        <v>7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3">
      <c r="A76">
        <v>2022</v>
      </c>
      <c r="B76" t="s">
        <v>9</v>
      </c>
      <c r="C76" t="s">
        <v>8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3">
      <c r="A77">
        <v>2023</v>
      </c>
      <c r="B77">
        <v>1</v>
      </c>
      <c r="C77" t="s">
        <v>6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K77">
        <v>35000000</v>
      </c>
    </row>
    <row r="78" spans="1:11" x14ac:dyDescent="0.3">
      <c r="A78">
        <v>2023</v>
      </c>
      <c r="B78">
        <v>1</v>
      </c>
      <c r="C78" t="s">
        <v>7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K78">
        <v>72000000</v>
      </c>
    </row>
    <row r="79" spans="1:11" x14ac:dyDescent="0.3">
      <c r="A79">
        <v>2023</v>
      </c>
      <c r="B79">
        <v>1</v>
      </c>
      <c r="C79" t="s">
        <v>8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3">
      <c r="A80">
        <v>2023</v>
      </c>
      <c r="B80">
        <v>2</v>
      </c>
      <c r="C80" t="s">
        <v>6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K80">
        <v>173000000</v>
      </c>
    </row>
    <row r="81" spans="1:11" x14ac:dyDescent="0.3">
      <c r="A81">
        <v>2023</v>
      </c>
      <c r="B81">
        <v>2</v>
      </c>
      <c r="C81" t="s">
        <v>7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K81">
        <v>595000000</v>
      </c>
    </row>
    <row r="82" spans="1:11" x14ac:dyDescent="0.3">
      <c r="A82">
        <v>2023</v>
      </c>
      <c r="B82">
        <v>2</v>
      </c>
      <c r="C82" t="s">
        <v>8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3">
      <c r="A83">
        <v>2023</v>
      </c>
      <c r="B83">
        <v>3</v>
      </c>
      <c r="C83" t="s">
        <v>6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K83">
        <v>0</v>
      </c>
    </row>
    <row r="84" spans="1:11" x14ac:dyDescent="0.3">
      <c r="A84">
        <v>2023</v>
      </c>
      <c r="B84">
        <v>3</v>
      </c>
      <c r="C84" t="s">
        <v>7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K84">
        <v>417000000</v>
      </c>
    </row>
    <row r="85" spans="1:11" x14ac:dyDescent="0.3">
      <c r="A85">
        <v>2023</v>
      </c>
      <c r="B85">
        <v>3</v>
      </c>
      <c r="C85" t="s">
        <v>8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3">
      <c r="A86">
        <v>2023</v>
      </c>
      <c r="B86">
        <v>4</v>
      </c>
      <c r="C86" t="s">
        <v>6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K86">
        <v>53000000</v>
      </c>
    </row>
    <row r="87" spans="1:11" x14ac:dyDescent="0.3">
      <c r="A87">
        <v>2023</v>
      </c>
      <c r="B87">
        <v>4</v>
      </c>
      <c r="C87" t="s">
        <v>7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K87">
        <v>299000000</v>
      </c>
    </row>
    <row r="88" spans="1:11" x14ac:dyDescent="0.3">
      <c r="A88">
        <v>2023</v>
      </c>
      <c r="B88">
        <v>4</v>
      </c>
      <c r="C88" t="s">
        <v>8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K88">
        <v>160000000</v>
      </c>
    </row>
    <row r="89" spans="1:11" x14ac:dyDescent="0.3">
      <c r="A89">
        <v>2023</v>
      </c>
      <c r="B89" t="s">
        <v>9</v>
      </c>
      <c r="C89" t="s">
        <v>6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3">
      <c r="A90">
        <v>2023</v>
      </c>
      <c r="B90" t="s">
        <v>9</v>
      </c>
      <c r="C90" t="s">
        <v>7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3">
      <c r="A91">
        <v>2023</v>
      </c>
      <c r="B91" t="s">
        <v>9</v>
      </c>
      <c r="C91" t="s">
        <v>8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3">
      <c r="A92">
        <v>2024</v>
      </c>
      <c r="B92">
        <v>1</v>
      </c>
      <c r="C92" t="s">
        <v>6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K92">
        <f>ROUND($K$179*((D92-F92)/($D$179-$F$179)),0)</f>
        <v>610559</v>
      </c>
    </row>
    <row r="93" spans="1:11" x14ac:dyDescent="0.3">
      <c r="A93">
        <v>2024</v>
      </c>
      <c r="B93">
        <v>1</v>
      </c>
      <c r="C93" t="s">
        <v>7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K93">
        <v>125000000</v>
      </c>
    </row>
    <row r="94" spans="1:11" x14ac:dyDescent="0.3">
      <c r="A94">
        <v>2024</v>
      </c>
      <c r="B94">
        <v>1</v>
      </c>
      <c r="C94" t="s">
        <v>8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3">
      <c r="A95">
        <v>2024</v>
      </c>
      <c r="B95">
        <v>2</v>
      </c>
      <c r="C95" t="s">
        <v>6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K95">
        <f>ROUND($K$179*((D95-F95)/($D$179-$F$179)),0)</f>
        <v>120716144</v>
      </c>
    </row>
    <row r="96" spans="1:11" x14ac:dyDescent="0.3">
      <c r="A96">
        <v>2024</v>
      </c>
      <c r="B96">
        <v>2</v>
      </c>
      <c r="C96" t="s">
        <v>7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K96">
        <v>519000000</v>
      </c>
    </row>
    <row r="97" spans="1:11" x14ac:dyDescent="0.3">
      <c r="A97">
        <v>2024</v>
      </c>
      <c r="B97">
        <v>2</v>
      </c>
      <c r="C97" t="s">
        <v>8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3">
      <c r="A98">
        <v>2024</v>
      </c>
      <c r="B98">
        <v>3</v>
      </c>
      <c r="C98" t="s">
        <v>6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K98">
        <f>ROUND($K$179*((D98-F98)/($D$179-$F$179)),0)</f>
        <v>7762816</v>
      </c>
    </row>
    <row r="99" spans="1:11" x14ac:dyDescent="0.3">
      <c r="A99">
        <v>2024</v>
      </c>
      <c r="B99">
        <v>3</v>
      </c>
      <c r="C99" t="s">
        <v>7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K99">
        <v>320000000</v>
      </c>
    </row>
    <row r="100" spans="1:11" x14ac:dyDescent="0.3">
      <c r="A100">
        <v>2024</v>
      </c>
      <c r="B100">
        <v>3</v>
      </c>
      <c r="C100" t="s">
        <v>8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3">
      <c r="A101">
        <v>2017</v>
      </c>
      <c r="B101" t="s">
        <v>9</v>
      </c>
      <c r="C101" t="s">
        <v>6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3">
      <c r="A102">
        <v>2016</v>
      </c>
      <c r="B102" t="s">
        <v>9</v>
      </c>
      <c r="C102" t="s">
        <v>6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3">
      <c r="A103">
        <v>2015</v>
      </c>
      <c r="B103" t="s">
        <v>9</v>
      </c>
      <c r="C103" t="s">
        <v>6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3">
      <c r="A104">
        <v>2014</v>
      </c>
      <c r="B104" t="s">
        <v>9</v>
      </c>
      <c r="C104" t="s">
        <v>6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16043000000</v>
      </c>
      <c r="K104">
        <v>0</v>
      </c>
    </row>
    <row r="105" spans="1:11" x14ac:dyDescent="0.3">
      <c r="A105">
        <v>2017</v>
      </c>
      <c r="B105" t="s">
        <v>9</v>
      </c>
      <c r="C105" t="s">
        <v>7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3">
      <c r="A106">
        <v>2016</v>
      </c>
      <c r="B106" t="s">
        <v>9</v>
      </c>
      <c r="C106" t="s">
        <v>7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3">
      <c r="A107">
        <v>2015</v>
      </c>
      <c r="B107" t="s">
        <v>9</v>
      </c>
      <c r="C107" t="s">
        <v>7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3">
      <c r="A108">
        <v>2014</v>
      </c>
      <c r="B108" t="s">
        <v>9</v>
      </c>
      <c r="C108" t="s">
        <v>7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3">
      <c r="A109">
        <v>2017</v>
      </c>
      <c r="B109" t="s">
        <v>9</v>
      </c>
      <c r="C109" t="s">
        <v>8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3">
      <c r="A110">
        <v>2016</v>
      </c>
      <c r="B110" t="s">
        <v>9</v>
      </c>
      <c r="C110" t="s">
        <v>8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3">
      <c r="A111">
        <v>2015</v>
      </c>
      <c r="B111" t="s">
        <v>9</v>
      </c>
      <c r="C111" t="s">
        <v>8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3">
      <c r="A112">
        <v>2014</v>
      </c>
      <c r="B112" t="s">
        <v>9</v>
      </c>
      <c r="C112" t="s">
        <v>8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3">
      <c r="A113">
        <v>2023</v>
      </c>
      <c r="B113" t="s">
        <v>9</v>
      </c>
      <c r="C113" t="s">
        <v>15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3">
      <c r="A114">
        <v>2022</v>
      </c>
      <c r="B114" t="s">
        <v>9</v>
      </c>
      <c r="C114" t="s">
        <v>15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3">
      <c r="A115">
        <v>2021</v>
      </c>
      <c r="B115" t="s">
        <v>9</v>
      </c>
      <c r="C115" t="s">
        <v>15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3">
      <c r="A116">
        <v>2020</v>
      </c>
      <c r="B116" t="s">
        <v>9</v>
      </c>
      <c r="C116" t="s">
        <v>15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3">
      <c r="A117">
        <v>2019</v>
      </c>
      <c r="B117" t="s">
        <v>9</v>
      </c>
      <c r="C117" t="s">
        <v>15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3">
      <c r="A118">
        <v>2018</v>
      </c>
      <c r="B118" t="s">
        <v>9</v>
      </c>
      <c r="C118" t="s">
        <v>15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3">
      <c r="A119">
        <v>2017</v>
      </c>
      <c r="B119" t="s">
        <v>9</v>
      </c>
      <c r="C119" t="s">
        <v>15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3">
      <c r="A120">
        <v>2016</v>
      </c>
      <c r="B120" t="s">
        <v>9</v>
      </c>
      <c r="C120" t="s">
        <v>15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3">
      <c r="A121">
        <v>2015</v>
      </c>
      <c r="B121" t="s">
        <v>9</v>
      </c>
      <c r="C121" t="s">
        <v>15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3">
      <c r="A122">
        <v>2014</v>
      </c>
      <c r="B122" t="s">
        <v>9</v>
      </c>
      <c r="C122" t="s">
        <v>15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3">
      <c r="A123">
        <v>2024</v>
      </c>
      <c r="B123">
        <v>3</v>
      </c>
      <c r="C123" t="s">
        <v>15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K123">
        <v>18000000</v>
      </c>
    </row>
    <row r="124" spans="1:11" x14ac:dyDescent="0.3">
      <c r="A124">
        <v>2024</v>
      </c>
      <c r="B124">
        <v>2</v>
      </c>
      <c r="C124" t="s">
        <v>15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K124">
        <v>31000000</v>
      </c>
    </row>
    <row r="125" spans="1:11" x14ac:dyDescent="0.3">
      <c r="A125">
        <v>2024</v>
      </c>
      <c r="B125">
        <v>1</v>
      </c>
      <c r="C125" t="s">
        <v>15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K125">
        <v>0</v>
      </c>
    </row>
    <row r="126" spans="1:11" x14ac:dyDescent="0.3">
      <c r="A126">
        <v>2017</v>
      </c>
      <c r="B126">
        <v>1</v>
      </c>
      <c r="C126" t="s">
        <v>6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K126">
        <v>31000000</v>
      </c>
    </row>
    <row r="127" spans="1:11" x14ac:dyDescent="0.3">
      <c r="A127">
        <v>2017</v>
      </c>
      <c r="B127">
        <v>2</v>
      </c>
      <c r="C127" t="s">
        <v>6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K127">
        <v>94000000</v>
      </c>
    </row>
    <row r="128" spans="1:11" x14ac:dyDescent="0.3">
      <c r="A128">
        <v>2017</v>
      </c>
      <c r="B128">
        <v>3</v>
      </c>
      <c r="C128" t="s">
        <v>6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K128">
        <v>70000000</v>
      </c>
    </row>
    <row r="129" spans="1:11" x14ac:dyDescent="0.3">
      <c r="A129">
        <v>2017</v>
      </c>
      <c r="B129">
        <v>4</v>
      </c>
      <c r="C129" t="s">
        <v>6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K129">
        <v>47000000</v>
      </c>
    </row>
    <row r="130" spans="1:11" x14ac:dyDescent="0.3">
      <c r="A130">
        <v>2016</v>
      </c>
      <c r="B130">
        <v>1</v>
      </c>
      <c r="C130" t="s">
        <v>6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K130">
        <v>73000000</v>
      </c>
    </row>
    <row r="131" spans="1:11" x14ac:dyDescent="0.3">
      <c r="A131">
        <v>2016</v>
      </c>
      <c r="B131">
        <v>2</v>
      </c>
      <c r="C131" t="s">
        <v>6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K131">
        <v>98000000</v>
      </c>
    </row>
    <row r="132" spans="1:11" x14ac:dyDescent="0.3">
      <c r="A132">
        <v>2016</v>
      </c>
      <c r="B132">
        <v>3</v>
      </c>
      <c r="C132" t="s">
        <v>6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K132">
        <v>86000000</v>
      </c>
    </row>
    <row r="133" spans="1:11" x14ac:dyDescent="0.3">
      <c r="A133">
        <v>2016</v>
      </c>
      <c r="B133">
        <v>4</v>
      </c>
      <c r="C133" t="s">
        <v>6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K133">
        <v>57000000</v>
      </c>
    </row>
    <row r="134" spans="1:11" x14ac:dyDescent="0.3">
      <c r="A134">
        <v>2015</v>
      </c>
      <c r="B134">
        <v>1</v>
      </c>
      <c r="C134" t="s">
        <v>6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K134">
        <v>0</v>
      </c>
    </row>
    <row r="135" spans="1:11" x14ac:dyDescent="0.3">
      <c r="A135">
        <v>2015</v>
      </c>
      <c r="B135">
        <v>2</v>
      </c>
      <c r="C135" t="s">
        <v>6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K135">
        <v>0</v>
      </c>
    </row>
    <row r="136" spans="1:11" x14ac:dyDescent="0.3">
      <c r="A136">
        <v>2015</v>
      </c>
      <c r="B136">
        <v>3</v>
      </c>
      <c r="C136" t="s">
        <v>6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K136">
        <v>0</v>
      </c>
    </row>
    <row r="137" spans="1:11" x14ac:dyDescent="0.3">
      <c r="A137">
        <v>2015</v>
      </c>
      <c r="B137">
        <v>4</v>
      </c>
      <c r="C137" t="s">
        <v>6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K137">
        <v>0</v>
      </c>
    </row>
    <row r="138" spans="1:11" x14ac:dyDescent="0.3">
      <c r="A138">
        <v>2014</v>
      </c>
      <c r="B138">
        <v>1</v>
      </c>
      <c r="C138" t="s">
        <v>6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K138">
        <v>0</v>
      </c>
    </row>
    <row r="139" spans="1:11" x14ac:dyDescent="0.3">
      <c r="A139">
        <v>2014</v>
      </c>
      <c r="B139">
        <v>2</v>
      </c>
      <c r="C139" t="s">
        <v>6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K139">
        <v>0</v>
      </c>
    </row>
    <row r="140" spans="1:11" x14ac:dyDescent="0.3">
      <c r="A140">
        <v>2014</v>
      </c>
      <c r="B140">
        <v>3</v>
      </c>
      <c r="C140" t="s">
        <v>6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K140">
        <v>0</v>
      </c>
    </row>
    <row r="141" spans="1:11" x14ac:dyDescent="0.3">
      <c r="A141">
        <v>2014</v>
      </c>
      <c r="B141">
        <v>4</v>
      </c>
      <c r="C141" t="s">
        <v>6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K141">
        <v>0</v>
      </c>
    </row>
    <row r="142" spans="1:11" x14ac:dyDescent="0.3">
      <c r="A142">
        <v>2017</v>
      </c>
      <c r="B142">
        <v>1</v>
      </c>
      <c r="C142" t="s">
        <v>7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3">
      <c r="A143">
        <v>2017</v>
      </c>
      <c r="B143">
        <v>2</v>
      </c>
      <c r="C143" t="s">
        <v>7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3">
      <c r="A144">
        <v>2017</v>
      </c>
      <c r="B144">
        <v>3</v>
      </c>
      <c r="C144" t="s">
        <v>7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3">
      <c r="A145">
        <v>2017</v>
      </c>
      <c r="B145">
        <v>4</v>
      </c>
      <c r="C145" t="s">
        <v>7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K145">
        <v>262000000</v>
      </c>
    </row>
    <row r="146" spans="1:11" x14ac:dyDescent="0.3">
      <c r="A146">
        <v>2016</v>
      </c>
      <c r="B146">
        <v>1</v>
      </c>
      <c r="C146" t="s">
        <v>7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3">
      <c r="A147">
        <v>2016</v>
      </c>
      <c r="B147">
        <v>2</v>
      </c>
      <c r="C147" t="s">
        <v>7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3">
      <c r="A148">
        <v>2016</v>
      </c>
      <c r="B148">
        <v>3</v>
      </c>
      <c r="C148" t="s">
        <v>7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3">
      <c r="A149">
        <v>2016</v>
      </c>
      <c r="B149">
        <v>4</v>
      </c>
      <c r="C149" t="s">
        <v>7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K149">
        <v>193000000</v>
      </c>
    </row>
    <row r="150" spans="1:11" x14ac:dyDescent="0.3">
      <c r="A150">
        <v>2015</v>
      </c>
      <c r="B150">
        <v>1</v>
      </c>
      <c r="C150" t="s">
        <v>7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3">
      <c r="A151">
        <v>2015</v>
      </c>
      <c r="B151">
        <v>2</v>
      </c>
      <c r="C151" t="s">
        <v>7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3">
      <c r="A152">
        <v>2015</v>
      </c>
      <c r="B152">
        <v>3</v>
      </c>
      <c r="C152" t="s">
        <v>7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3">
      <c r="A153">
        <v>2015</v>
      </c>
      <c r="B153">
        <v>4</v>
      </c>
      <c r="C153" t="s">
        <v>7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K153">
        <v>380000000</v>
      </c>
    </row>
    <row r="154" spans="1:11" x14ac:dyDescent="0.3">
      <c r="A154">
        <v>2014</v>
      </c>
      <c r="B154">
        <v>1</v>
      </c>
      <c r="C154" t="s">
        <v>7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3">
      <c r="A155">
        <v>2014</v>
      </c>
      <c r="B155">
        <v>2</v>
      </c>
      <c r="C155" t="s">
        <v>7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3">
      <c r="A156">
        <v>2014</v>
      </c>
      <c r="B156">
        <v>3</v>
      </c>
      <c r="C156" t="s">
        <v>7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3">
      <c r="A157">
        <v>2014</v>
      </c>
      <c r="B157">
        <v>4</v>
      </c>
      <c r="C157" t="s">
        <v>7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K157">
        <v>262000000</v>
      </c>
    </row>
    <row r="158" spans="1:11" x14ac:dyDescent="0.3">
      <c r="A158">
        <v>2017</v>
      </c>
      <c r="B158">
        <v>1</v>
      </c>
      <c r="C158" t="s">
        <v>8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3">
      <c r="A159">
        <v>2017</v>
      </c>
      <c r="B159">
        <v>2</v>
      </c>
      <c r="C159" t="s">
        <v>8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3">
      <c r="A160">
        <v>2017</v>
      </c>
      <c r="B160">
        <v>3</v>
      </c>
      <c r="C160" t="s">
        <v>8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3">
      <c r="A161">
        <v>2017</v>
      </c>
      <c r="B161">
        <v>4</v>
      </c>
      <c r="C161" t="s">
        <v>8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K161">
        <v>73000000</v>
      </c>
    </row>
    <row r="162" spans="1:11" x14ac:dyDescent="0.3">
      <c r="A162">
        <v>2016</v>
      </c>
      <c r="B162">
        <v>1</v>
      </c>
      <c r="C162" t="s">
        <v>8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3">
      <c r="A163">
        <v>2016</v>
      </c>
      <c r="B163">
        <v>2</v>
      </c>
      <c r="C163" t="s">
        <v>8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3">
      <c r="A164">
        <v>2016</v>
      </c>
      <c r="B164">
        <v>3</v>
      </c>
      <c r="C164" t="s">
        <v>8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3">
      <c r="A165">
        <v>2016</v>
      </c>
      <c r="B165">
        <v>4</v>
      </c>
      <c r="C165" t="s">
        <v>8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K165">
        <v>145000000</v>
      </c>
    </row>
    <row r="166" spans="1:11" x14ac:dyDescent="0.3">
      <c r="A166">
        <v>2015</v>
      </c>
      <c r="B166">
        <v>1</v>
      </c>
      <c r="C166" t="s">
        <v>8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3">
      <c r="A167">
        <v>2015</v>
      </c>
      <c r="B167">
        <v>2</v>
      </c>
      <c r="C167" t="s">
        <v>8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3">
      <c r="A168">
        <v>2015</v>
      </c>
      <c r="B168">
        <v>3</v>
      </c>
      <c r="C168" t="s">
        <v>8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3">
      <c r="A169">
        <v>2015</v>
      </c>
      <c r="B169">
        <v>4</v>
      </c>
      <c r="C169" t="s">
        <v>8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K169">
        <v>146000000</v>
      </c>
    </row>
    <row r="170" spans="1:11" x14ac:dyDescent="0.3">
      <c r="A170">
        <v>2014</v>
      </c>
      <c r="B170">
        <v>1</v>
      </c>
      <c r="C170" t="s">
        <v>8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3">
      <c r="A171">
        <v>2014</v>
      </c>
      <c r="B171">
        <v>2</v>
      </c>
      <c r="C171" t="s">
        <v>8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3">
      <c r="A172">
        <v>2014</v>
      </c>
      <c r="B172">
        <v>3</v>
      </c>
      <c r="C172" t="s">
        <v>8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3">
      <c r="A173">
        <v>2014</v>
      </c>
      <c r="B173">
        <v>4</v>
      </c>
      <c r="C173" t="s">
        <v>8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K173">
        <v>54000000</v>
      </c>
    </row>
    <row r="174" spans="1:11" x14ac:dyDescent="0.3">
      <c r="A174">
        <v>2024</v>
      </c>
      <c r="B174">
        <v>4</v>
      </c>
      <c r="C174" t="s">
        <v>7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K174">
        <v>425000000</v>
      </c>
    </row>
    <row r="175" spans="1:11" x14ac:dyDescent="0.3">
      <c r="A175">
        <v>2024</v>
      </c>
      <c r="B175" t="s">
        <v>9</v>
      </c>
      <c r="C175" t="s">
        <v>7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3">
      <c r="A176">
        <v>2024</v>
      </c>
      <c r="B176">
        <v>4</v>
      </c>
      <c r="C176" t="s">
        <v>8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K176">
        <v>294000000</v>
      </c>
    </row>
    <row r="177" spans="1:11" x14ac:dyDescent="0.3">
      <c r="A177">
        <v>2024</v>
      </c>
      <c r="B177" t="s">
        <v>9</v>
      </c>
      <c r="C177" t="s">
        <v>8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3">
      <c r="A178">
        <v>2024</v>
      </c>
      <c r="B178">
        <v>4</v>
      </c>
      <c r="C178" t="s">
        <v>6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K178">
        <f>ROUND($K$179*((D178-F178)/($D$179-$F$179)),0)</f>
        <v>98910482</v>
      </c>
    </row>
    <row r="179" spans="1:11" x14ac:dyDescent="0.3">
      <c r="A179">
        <v>2024</v>
      </c>
      <c r="B179" t="s">
        <v>9</v>
      </c>
      <c r="C179" t="s">
        <v>6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3">
      <c r="A180">
        <v>2024</v>
      </c>
      <c r="B180">
        <v>4</v>
      </c>
      <c r="C180" t="s">
        <v>15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K180">
        <v>54000000</v>
      </c>
    </row>
    <row r="181" spans="1:11" x14ac:dyDescent="0.3">
      <c r="A181">
        <v>2024</v>
      </c>
      <c r="B181" t="s">
        <v>9</v>
      </c>
      <c r="C181" t="s">
        <v>15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3">
      <c r="A182">
        <v>2025</v>
      </c>
      <c r="B182">
        <v>1</v>
      </c>
      <c r="C182" t="s">
        <v>7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K182">
        <v>124000000</v>
      </c>
    </row>
    <row r="183" spans="1:11" x14ac:dyDescent="0.3">
      <c r="A183">
        <v>2025</v>
      </c>
      <c r="B183">
        <v>1</v>
      </c>
      <c r="C183" t="s">
        <v>8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3">
      <c r="A184">
        <v>2025</v>
      </c>
      <c r="B184">
        <v>1</v>
      </c>
      <c r="C184" t="s">
        <v>6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K184">
        <v>0</v>
      </c>
    </row>
    <row r="185" spans="1:11" x14ac:dyDescent="0.3">
      <c r="A185">
        <v>2025</v>
      </c>
      <c r="B185">
        <v>1</v>
      </c>
      <c r="C185" t="s">
        <v>15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K185">
        <v>0</v>
      </c>
    </row>
    <row r="186" spans="1:11" x14ac:dyDescent="0.3">
      <c r="A186">
        <v>2025</v>
      </c>
      <c r="B186">
        <v>2</v>
      </c>
      <c r="C186" t="s">
        <v>7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K186">
        <v>470000000</v>
      </c>
    </row>
    <row r="187" spans="1:11" x14ac:dyDescent="0.3">
      <c r="A187">
        <v>2025</v>
      </c>
      <c r="B187">
        <v>2</v>
      </c>
      <c r="C187" t="s">
        <v>8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3">
      <c r="A188">
        <v>2025</v>
      </c>
      <c r="B188">
        <v>2</v>
      </c>
      <c r="C188" t="s">
        <v>6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</row>
    <row r="189" spans="1:11" x14ac:dyDescent="0.3">
      <c r="A189">
        <v>2025</v>
      </c>
      <c r="B189">
        <v>2</v>
      </c>
      <c r="C189" t="s">
        <v>15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K189">
        <v>14000000</v>
      </c>
    </row>
    <row r="190" spans="1:11" x14ac:dyDescent="0.3">
      <c r="A190">
        <v>2025</v>
      </c>
      <c r="B190">
        <v>3</v>
      </c>
      <c r="C190" t="s">
        <v>7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K190">
        <v>392000000</v>
      </c>
    </row>
    <row r="191" spans="1:11" x14ac:dyDescent="0.3">
      <c r="A191">
        <v>2025</v>
      </c>
      <c r="B191">
        <v>3</v>
      </c>
      <c r="C191" t="s">
        <v>8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3">
      <c r="A192">
        <v>2025</v>
      </c>
      <c r="B192">
        <v>3</v>
      </c>
      <c r="C192" t="s">
        <v>6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K192">
        <v>0</v>
      </c>
    </row>
    <row r="193" spans="1:11" x14ac:dyDescent="0.3">
      <c r="A193">
        <v>2025</v>
      </c>
      <c r="B193">
        <v>3</v>
      </c>
      <c r="C193" t="s">
        <v>15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K193">
        <v>11000000</v>
      </c>
    </row>
    <row r="194" spans="1:11" x14ac:dyDescent="0.3">
      <c r="A194">
        <v>2025</v>
      </c>
      <c r="B194">
        <v>4</v>
      </c>
      <c r="C194" t="s">
        <v>7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K194">
        <v>351000000</v>
      </c>
    </row>
    <row r="195" spans="1:11" x14ac:dyDescent="0.3">
      <c r="A195">
        <v>2025</v>
      </c>
      <c r="B195" t="s">
        <v>9</v>
      </c>
      <c r="C195" t="s">
        <v>7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K195">
        <v>1337000000</v>
      </c>
    </row>
    <row r="196" spans="1:11" x14ac:dyDescent="0.3">
      <c r="A196">
        <v>2025</v>
      </c>
      <c r="B196">
        <v>4</v>
      </c>
      <c r="C196" t="s">
        <v>8</v>
      </c>
    </row>
    <row r="197" spans="1:11" x14ac:dyDescent="0.3">
      <c r="A197">
        <v>2025</v>
      </c>
      <c r="B197" t="s">
        <v>9</v>
      </c>
      <c r="C197" t="s">
        <v>8</v>
      </c>
    </row>
    <row r="198" spans="1:11" x14ac:dyDescent="0.3">
      <c r="A198">
        <v>2025</v>
      </c>
      <c r="B198">
        <v>4</v>
      </c>
      <c r="C198" t="s">
        <v>15</v>
      </c>
    </row>
    <row r="199" spans="1:11" x14ac:dyDescent="0.3">
      <c r="A199">
        <v>2025</v>
      </c>
      <c r="B199" t="s">
        <v>9</v>
      </c>
      <c r="C199" t="s">
        <v>15</v>
      </c>
    </row>
    <row r="200" spans="1:11" x14ac:dyDescent="0.3">
      <c r="A200">
        <v>2025</v>
      </c>
      <c r="B200">
        <v>4</v>
      </c>
      <c r="C200" t="s">
        <v>6</v>
      </c>
    </row>
    <row r="201" spans="1:11" x14ac:dyDescent="0.3">
      <c r="A201">
        <v>2025</v>
      </c>
      <c r="B201" t="s">
        <v>9</v>
      </c>
      <c r="C20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4.4" x14ac:dyDescent="0.3"/>
  <cols>
    <col min="4" max="4" width="19.33203125" bestFit="1" customWidth="1"/>
    <col min="5" max="5" width="11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16</v>
      </c>
      <c r="E1" t="s">
        <v>17</v>
      </c>
    </row>
    <row r="2" spans="1:5" x14ac:dyDescent="0.3">
      <c r="A2">
        <v>2013</v>
      </c>
      <c r="B2" t="s">
        <v>9</v>
      </c>
      <c r="C2" t="s">
        <v>6</v>
      </c>
      <c r="D2">
        <v>0</v>
      </c>
      <c r="E2">
        <v>0</v>
      </c>
    </row>
    <row r="3" spans="1:5" x14ac:dyDescent="0.3">
      <c r="A3">
        <v>2014</v>
      </c>
      <c r="B3" t="s">
        <v>9</v>
      </c>
      <c r="C3" t="s">
        <v>6</v>
      </c>
      <c r="D3">
        <v>23400000</v>
      </c>
      <c r="E3">
        <v>1000000000</v>
      </c>
    </row>
    <row r="4" spans="1:5" x14ac:dyDescent="0.3">
      <c r="A4">
        <v>2015</v>
      </c>
      <c r="B4" t="s">
        <v>9</v>
      </c>
      <c r="C4" t="s">
        <v>6</v>
      </c>
      <c r="D4">
        <v>85100000</v>
      </c>
      <c r="E4">
        <v>3600000000</v>
      </c>
    </row>
    <row r="5" spans="1:5" x14ac:dyDescent="0.3">
      <c r="A5">
        <v>2016</v>
      </c>
      <c r="B5" t="s">
        <v>9</v>
      </c>
      <c r="C5" t="s">
        <v>6</v>
      </c>
      <c r="D5">
        <v>119800000</v>
      </c>
      <c r="E5">
        <v>4400000000</v>
      </c>
    </row>
    <row r="6" spans="1:5" x14ac:dyDescent="0.3">
      <c r="A6">
        <v>2017</v>
      </c>
      <c r="B6" t="s">
        <v>9</v>
      </c>
      <c r="C6" t="s">
        <v>6</v>
      </c>
      <c r="D6">
        <v>33900000</v>
      </c>
      <c r="E6">
        <v>1600000000</v>
      </c>
    </row>
    <row r="7" spans="1:5" x14ac:dyDescent="0.3">
      <c r="A7">
        <v>2018</v>
      </c>
      <c r="B7" t="s">
        <v>9</v>
      </c>
      <c r="C7" t="s">
        <v>6</v>
      </c>
      <c r="D7">
        <v>16600000</v>
      </c>
      <c r="E7">
        <v>800000000</v>
      </c>
    </row>
    <row r="8" spans="1:5" x14ac:dyDescent="0.3">
      <c r="A8">
        <v>2019</v>
      </c>
      <c r="B8" t="s">
        <v>9</v>
      </c>
      <c r="C8" t="s">
        <v>6</v>
      </c>
      <c r="D8">
        <v>33800000</v>
      </c>
      <c r="E8">
        <v>1100000000</v>
      </c>
    </row>
    <row r="9" spans="1:5" x14ac:dyDescent="0.3">
      <c r="A9">
        <v>2020</v>
      </c>
      <c r="B9" t="s">
        <v>9</v>
      </c>
      <c r="C9" t="s">
        <v>6</v>
      </c>
      <c r="D9">
        <v>6400000</v>
      </c>
      <c r="E9">
        <v>145000000</v>
      </c>
    </row>
    <row r="10" spans="1:5" x14ac:dyDescent="0.3">
      <c r="A10">
        <v>2013</v>
      </c>
      <c r="B10" t="s">
        <v>9</v>
      </c>
      <c r="C10" t="s">
        <v>7</v>
      </c>
      <c r="D10">
        <v>10000000</v>
      </c>
      <c r="E10">
        <v>250000000</v>
      </c>
    </row>
    <row r="11" spans="1:5" x14ac:dyDescent="0.3">
      <c r="A11">
        <v>2014</v>
      </c>
      <c r="B11" t="s">
        <v>9</v>
      </c>
      <c r="C11" t="s">
        <v>7</v>
      </c>
      <c r="D11">
        <v>28600000</v>
      </c>
      <c r="E11">
        <v>1100000000</v>
      </c>
    </row>
    <row r="12" spans="1:5" x14ac:dyDescent="0.3">
      <c r="A12">
        <v>2015</v>
      </c>
      <c r="B12" t="s">
        <v>9</v>
      </c>
      <c r="C12" t="s">
        <v>7</v>
      </c>
      <c r="D12">
        <v>48400000</v>
      </c>
      <c r="E12">
        <v>2200000000</v>
      </c>
    </row>
    <row r="13" spans="1:5" x14ac:dyDescent="0.3">
      <c r="A13">
        <v>2016</v>
      </c>
      <c r="B13" t="s">
        <v>9</v>
      </c>
      <c r="C13" t="s">
        <v>7</v>
      </c>
      <c r="D13">
        <v>60000000</v>
      </c>
      <c r="E13">
        <v>2600000000</v>
      </c>
    </row>
    <row r="14" spans="1:5" x14ac:dyDescent="0.3">
      <c r="A14">
        <v>2017</v>
      </c>
      <c r="B14" t="s">
        <v>9</v>
      </c>
      <c r="C14" t="s">
        <v>7</v>
      </c>
      <c r="D14">
        <v>33000000</v>
      </c>
      <c r="E14">
        <v>1700000000</v>
      </c>
    </row>
    <row r="15" spans="1:5" x14ac:dyDescent="0.3">
      <c r="A15">
        <v>2018</v>
      </c>
      <c r="B15" t="s">
        <v>9</v>
      </c>
      <c r="C15" t="s">
        <v>7</v>
      </c>
      <c r="D15">
        <v>29000000</v>
      </c>
      <c r="E15">
        <v>1600000000</v>
      </c>
    </row>
    <row r="16" spans="1:5" x14ac:dyDescent="0.3">
      <c r="A16">
        <v>2019</v>
      </c>
      <c r="B16" t="s">
        <v>9</v>
      </c>
      <c r="C16" t="s">
        <v>7</v>
      </c>
      <c r="D16">
        <v>38000000</v>
      </c>
      <c r="E16">
        <v>2000000000</v>
      </c>
    </row>
    <row r="17" spans="1:5" x14ac:dyDescent="0.3">
      <c r="A17">
        <v>2020</v>
      </c>
      <c r="B17" t="s">
        <v>9</v>
      </c>
      <c r="C17" t="s">
        <v>7</v>
      </c>
      <c r="D17">
        <v>6700000</v>
      </c>
      <c r="E17">
        <v>377620000</v>
      </c>
    </row>
    <row r="18" spans="1:5" x14ac:dyDescent="0.3">
      <c r="A18">
        <v>2013</v>
      </c>
      <c r="B18" t="s">
        <v>9</v>
      </c>
      <c r="C18" t="s">
        <v>8</v>
      </c>
      <c r="D18">
        <v>0</v>
      </c>
      <c r="E18">
        <v>0</v>
      </c>
    </row>
    <row r="19" spans="1:5" x14ac:dyDescent="0.3">
      <c r="A19">
        <v>2014</v>
      </c>
      <c r="B19" t="s">
        <v>9</v>
      </c>
      <c r="C19" t="s">
        <v>8</v>
      </c>
      <c r="D19">
        <v>6500000</v>
      </c>
      <c r="E19">
        <v>320000000</v>
      </c>
    </row>
    <row r="20" spans="1:5" x14ac:dyDescent="0.3">
      <c r="A20">
        <v>2015</v>
      </c>
      <c r="B20" t="s">
        <v>9</v>
      </c>
      <c r="C20" t="s">
        <v>8</v>
      </c>
      <c r="D20">
        <v>21000000</v>
      </c>
      <c r="E20">
        <v>1200000000</v>
      </c>
    </row>
    <row r="21" spans="1:5" x14ac:dyDescent="0.3">
      <c r="A21">
        <v>2016</v>
      </c>
      <c r="B21" t="s">
        <v>9</v>
      </c>
      <c r="C21" t="s">
        <v>8</v>
      </c>
      <c r="D21">
        <v>50000000</v>
      </c>
      <c r="E21">
        <v>2600000000</v>
      </c>
    </row>
    <row r="22" spans="1:5" x14ac:dyDescent="0.3">
      <c r="A22">
        <v>2017</v>
      </c>
      <c r="B22" t="s">
        <v>9</v>
      </c>
      <c r="C22" t="s">
        <v>8</v>
      </c>
      <c r="D22">
        <v>28000000</v>
      </c>
      <c r="E22">
        <v>1800000000</v>
      </c>
    </row>
    <row r="23" spans="1:5" x14ac:dyDescent="0.3">
      <c r="A23">
        <v>2018</v>
      </c>
      <c r="B23" t="s">
        <v>9</v>
      </c>
      <c r="C23" t="s">
        <v>8</v>
      </c>
      <c r="D23">
        <v>17500000</v>
      </c>
      <c r="E23">
        <v>1200000000</v>
      </c>
    </row>
    <row r="24" spans="1:5" x14ac:dyDescent="0.3">
      <c r="A24">
        <v>2019</v>
      </c>
      <c r="B24" t="s">
        <v>9</v>
      </c>
      <c r="C24" t="s">
        <v>8</v>
      </c>
      <c r="D24">
        <v>19200000</v>
      </c>
      <c r="E24">
        <v>1600000000</v>
      </c>
    </row>
    <row r="25" spans="1:5" x14ac:dyDescent="0.3">
      <c r="A25">
        <v>2020</v>
      </c>
      <c r="B25" t="s">
        <v>9</v>
      </c>
      <c r="C25" t="s">
        <v>8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4.4" x14ac:dyDescent="0.3"/>
  <cols>
    <col min="1" max="1" width="4.88671875" bestFit="1" customWidth="1"/>
    <col min="2" max="2" width="7.6640625" bestFit="1" customWidth="1"/>
    <col min="3" max="3" width="6.6640625" bestFit="1" customWidth="1"/>
    <col min="4" max="4" width="19.33203125" bestFit="1" customWidth="1"/>
    <col min="5" max="5" width="15.886718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19</v>
      </c>
      <c r="E1" s="1" t="s">
        <v>18</v>
      </c>
    </row>
    <row r="2" spans="1:5" x14ac:dyDescent="0.3">
      <c r="A2">
        <v>2020</v>
      </c>
      <c r="B2" t="s">
        <v>9</v>
      </c>
      <c r="C2" t="s">
        <v>6</v>
      </c>
      <c r="D2">
        <v>143597509</v>
      </c>
      <c r="E2" s="1">
        <v>1901355562.5899999</v>
      </c>
    </row>
    <row r="3" spans="1:5" x14ac:dyDescent="0.3">
      <c r="A3">
        <v>2021</v>
      </c>
      <c r="B3" t="s">
        <v>9</v>
      </c>
      <c r="C3" t="s">
        <v>6</v>
      </c>
      <c r="D3">
        <v>79599019</v>
      </c>
      <c r="E3" s="1">
        <v>1082205377.28</v>
      </c>
    </row>
    <row r="4" spans="1:5" x14ac:dyDescent="0.3">
      <c r="A4">
        <v>2020</v>
      </c>
      <c r="B4" t="s">
        <v>9</v>
      </c>
      <c r="C4" t="s">
        <v>7</v>
      </c>
      <c r="D4">
        <v>6500000</v>
      </c>
      <c r="E4" s="1">
        <v>158535000</v>
      </c>
    </row>
    <row r="5" spans="1:5" x14ac:dyDescent="0.3">
      <c r="A5">
        <v>2021</v>
      </c>
      <c r="B5" t="s">
        <v>9</v>
      </c>
      <c r="C5" t="s">
        <v>7</v>
      </c>
      <c r="D5">
        <v>2100000</v>
      </c>
      <c r="E5" s="1">
        <v>83433000</v>
      </c>
    </row>
    <row r="6" spans="1:5" x14ac:dyDescent="0.3">
      <c r="A6">
        <v>2020</v>
      </c>
      <c r="B6" t="s">
        <v>9</v>
      </c>
      <c r="C6" t="s">
        <v>8</v>
      </c>
      <c r="D6">
        <v>69338841</v>
      </c>
      <c r="E6" s="1">
        <v>2293578491.5</v>
      </c>
    </row>
    <row r="7" spans="1:5" x14ac:dyDescent="0.3">
      <c r="A7">
        <v>2021</v>
      </c>
      <c r="B7" t="s">
        <v>9</v>
      </c>
      <c r="C7" t="s">
        <v>8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2026-01-14T01:46:24Z</dcterms:modified>
</cp:coreProperties>
</file>