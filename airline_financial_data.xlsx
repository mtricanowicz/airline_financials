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478" documentId="8_{5FE741C9-A2F0-4D0A-8E2F-B83D587BBB42}" xr6:coauthVersionLast="47" xr6:coauthVersionMax="47" xr10:uidLastSave="{5A09035F-7AF9-4242-89E7-4B1E2BD2855F}"/>
  <bookViews>
    <workbookView xWindow="-120" yWindow="-120" windowWidth="38640" windowHeight="211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2" l="1"/>
  <c r="K200" i="2"/>
  <c r="K98" i="2"/>
  <c r="K95" i="2"/>
  <c r="K92" i="2"/>
  <c r="K178" i="2"/>
</calcChain>
</file>

<file path=xl/sharedStrings.xml><?xml version="1.0" encoding="utf-8"?>
<sst xmlns="http://schemas.openxmlformats.org/spreadsheetml/2006/main" count="333" uniqueCount="20">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</sst>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5"/>
  <sheetViews>
    <sheetView tabSelected="1" topLeftCell="A166" zoomScaleNormal="100" workbookViewId="0">
      <selection activeCell="K203" sqref="K203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K92">
        <f>ROUND($K$179*((D92-F92)/($D$179-$F$179)),0)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K95">
        <f>ROUND($K$179*((D95-F95)/($D$179-$F$179)),0)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K98">
        <f>ROUND($K$179*((D98-F98)/($D$179-$F$179)),0)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16043000000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25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K123">
        <v>18000000</v>
      </c>
    </row>
    <row r="124" spans="1:11" x14ac:dyDescent="0.25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K124">
        <v>31000000</v>
      </c>
    </row>
    <row r="125" spans="1:11" x14ac:dyDescent="0.25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K125">
        <v>0</v>
      </c>
    </row>
    <row r="126" spans="1:11" x14ac:dyDescent="0.25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K126">
        <v>31000000</v>
      </c>
    </row>
    <row r="127" spans="1:11" x14ac:dyDescent="0.25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K127">
        <v>94000000</v>
      </c>
    </row>
    <row r="128" spans="1:11" x14ac:dyDescent="0.25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K128">
        <v>70000000</v>
      </c>
    </row>
    <row r="129" spans="1:11" x14ac:dyDescent="0.25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K129">
        <v>47000000</v>
      </c>
    </row>
    <row r="130" spans="1:11" x14ac:dyDescent="0.25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K130">
        <v>73000000</v>
      </c>
    </row>
    <row r="131" spans="1:11" x14ac:dyDescent="0.25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K131">
        <v>98000000</v>
      </c>
    </row>
    <row r="132" spans="1:11" x14ac:dyDescent="0.25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K132">
        <v>86000000</v>
      </c>
    </row>
    <row r="133" spans="1:11" x14ac:dyDescent="0.25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K133">
        <v>57000000</v>
      </c>
    </row>
    <row r="134" spans="1:11" x14ac:dyDescent="0.25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K134">
        <v>0</v>
      </c>
    </row>
    <row r="135" spans="1:11" x14ac:dyDescent="0.25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K135">
        <v>0</v>
      </c>
    </row>
    <row r="136" spans="1:11" x14ac:dyDescent="0.25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K136">
        <v>0</v>
      </c>
    </row>
    <row r="137" spans="1:11" x14ac:dyDescent="0.25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K137">
        <v>0</v>
      </c>
    </row>
    <row r="138" spans="1:11" x14ac:dyDescent="0.25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K138">
        <v>0</v>
      </c>
    </row>
    <row r="139" spans="1:11" x14ac:dyDescent="0.25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K139">
        <v>0</v>
      </c>
    </row>
    <row r="140" spans="1:11" x14ac:dyDescent="0.25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K140">
        <v>0</v>
      </c>
    </row>
    <row r="141" spans="1:11" x14ac:dyDescent="0.25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K141">
        <v>0</v>
      </c>
    </row>
    <row r="142" spans="1:11" x14ac:dyDescent="0.25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25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25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25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K145">
        <v>262000000</v>
      </c>
    </row>
    <row r="146" spans="1:11" x14ac:dyDescent="0.25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25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25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25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K149">
        <v>193000000</v>
      </c>
    </row>
    <row r="150" spans="1:11" x14ac:dyDescent="0.25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25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25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25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K153">
        <v>380000000</v>
      </c>
    </row>
    <row r="154" spans="1:11" x14ac:dyDescent="0.25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25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25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25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K157">
        <v>262000000</v>
      </c>
    </row>
    <row r="158" spans="1:11" x14ac:dyDescent="0.25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25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25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25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K161">
        <v>73000000</v>
      </c>
    </row>
    <row r="162" spans="1:11" x14ac:dyDescent="0.25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25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25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25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K165">
        <v>145000000</v>
      </c>
    </row>
    <row r="166" spans="1:11" x14ac:dyDescent="0.25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25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25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25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K169">
        <v>146000000</v>
      </c>
    </row>
    <row r="170" spans="1:11" x14ac:dyDescent="0.25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25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25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25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K173">
        <v>54000000</v>
      </c>
    </row>
    <row r="174" spans="1:11" x14ac:dyDescent="0.25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K174">
        <v>425000000</v>
      </c>
    </row>
    <row r="175" spans="1:11" x14ac:dyDescent="0.25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25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K176">
        <v>294000000</v>
      </c>
    </row>
    <row r="177" spans="1:11" x14ac:dyDescent="0.25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25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K178">
        <f>ROUND($K$179*((D178-F178)/($D$179-$F$179)),0)</f>
        <v>98910482</v>
      </c>
    </row>
    <row r="179" spans="1:11" x14ac:dyDescent="0.25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25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K180">
        <v>54000000</v>
      </c>
    </row>
    <row r="181" spans="1:11" x14ac:dyDescent="0.25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25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K182">
        <v>124000000</v>
      </c>
    </row>
    <row r="183" spans="1:11" x14ac:dyDescent="0.25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25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K184">
        <v>0</v>
      </c>
    </row>
    <row r="185" spans="1:11" x14ac:dyDescent="0.25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K185">
        <v>0</v>
      </c>
    </row>
    <row r="186" spans="1:11" x14ac:dyDescent="0.25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K186">
        <v>470000000</v>
      </c>
    </row>
    <row r="187" spans="1:11" x14ac:dyDescent="0.25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25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  <c r="K188">
        <f>ROUND($K$201*(((D188-F188)/($D$201-$F$201))/(((D200-F200)/($D$201-$F$201))+((D188-F188)/($D$201-$F$201)))),0)</f>
        <v>39360025</v>
      </c>
    </row>
    <row r="189" spans="1:11" x14ac:dyDescent="0.25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K189">
        <v>14000000</v>
      </c>
    </row>
    <row r="190" spans="1:11" x14ac:dyDescent="0.25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K190">
        <v>392000000</v>
      </c>
    </row>
    <row r="191" spans="1:11" x14ac:dyDescent="0.25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25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K192">
        <v>0</v>
      </c>
    </row>
    <row r="193" spans="1:11" x14ac:dyDescent="0.25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K193">
        <v>11000000</v>
      </c>
    </row>
    <row r="194" spans="1:11" x14ac:dyDescent="0.25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K194">
        <v>351000000</v>
      </c>
    </row>
    <row r="195" spans="1:11" x14ac:dyDescent="0.25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J195">
        <v>11936000000</v>
      </c>
      <c r="K195">
        <v>1337000000</v>
      </c>
    </row>
    <row r="196" spans="1:11" x14ac:dyDescent="0.25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K196">
        <v>244000000</v>
      </c>
    </row>
    <row r="197" spans="1:11" x14ac:dyDescent="0.25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J197">
        <v>17170000000</v>
      </c>
      <c r="K197">
        <v>704000000</v>
      </c>
    </row>
    <row r="198" spans="1:11" x14ac:dyDescent="0.25">
      <c r="A198">
        <v>2025</v>
      </c>
      <c r="B198">
        <v>4</v>
      </c>
      <c r="C198" t="s">
        <v>13</v>
      </c>
      <c r="D198">
        <v>7442000000</v>
      </c>
      <c r="E198">
        <v>6785000000</v>
      </c>
      <c r="F198">
        <v>7051000000</v>
      </c>
      <c r="G198">
        <v>323000000</v>
      </c>
      <c r="H198">
        <v>35567000000</v>
      </c>
      <c r="I198">
        <v>46052000000</v>
      </c>
      <c r="K198">
        <v>71000000</v>
      </c>
    </row>
    <row r="199" spans="1:11" x14ac:dyDescent="0.25">
      <c r="A199">
        <v>2025</v>
      </c>
      <c r="B199" t="s">
        <v>8</v>
      </c>
      <c r="C199" t="s">
        <v>13</v>
      </c>
      <c r="D199">
        <v>28063000000</v>
      </c>
      <c r="E199">
        <v>25535000000</v>
      </c>
      <c r="F199">
        <v>27635000000</v>
      </c>
      <c r="G199">
        <v>441000000</v>
      </c>
      <c r="H199">
        <v>139443000000</v>
      </c>
      <c r="I199">
        <v>180046000000</v>
      </c>
      <c r="J199">
        <v>4577000000</v>
      </c>
      <c r="K199">
        <v>97000000</v>
      </c>
    </row>
    <row r="200" spans="1:11" x14ac:dyDescent="0.25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  <c r="K200">
        <f>ROUND($K$201*(((D200-F200)/($D$201-$F$201))/(((D200-F200)/($D$201-$F$201))+((D188-F188)/($D$201-$F$201)))),0)</f>
        <v>15639975</v>
      </c>
    </row>
    <row r="201" spans="1:11" x14ac:dyDescent="0.25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  <c r="J201">
        <v>24639000000</v>
      </c>
      <c r="K201">
        <v>55000000</v>
      </c>
    </row>
    <row r="202" spans="1:11" x14ac:dyDescent="0.25">
      <c r="A202">
        <v>2026</v>
      </c>
      <c r="B202">
        <v>1</v>
      </c>
      <c r="C202" t="s">
        <v>6</v>
      </c>
      <c r="D202">
        <v>15854000000</v>
      </c>
      <c r="E202">
        <v>12302000000</v>
      </c>
      <c r="F202">
        <v>15353000000</v>
      </c>
      <c r="G202">
        <v>-289000000</v>
      </c>
      <c r="H202">
        <v>56470000000</v>
      </c>
      <c r="I202">
        <v>69163000000</v>
      </c>
      <c r="K202">
        <v>165000000</v>
      </c>
    </row>
    <row r="203" spans="1:11" x14ac:dyDescent="0.25">
      <c r="A203">
        <v>2026</v>
      </c>
      <c r="B203">
        <v>1</v>
      </c>
      <c r="C203" t="s">
        <v>7</v>
      </c>
    </row>
    <row r="204" spans="1:11" x14ac:dyDescent="0.25">
      <c r="A204">
        <v>2026</v>
      </c>
      <c r="B204">
        <v>1</v>
      </c>
      <c r="C204" t="s">
        <v>5</v>
      </c>
    </row>
    <row r="205" spans="1:11" x14ac:dyDescent="0.25">
      <c r="A205">
        <v>2026</v>
      </c>
      <c r="B205">
        <v>1</v>
      </c>
      <c r="C205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2026-04-09T01:44:21Z</dcterms:modified>
</cp:coreProperties>
</file>